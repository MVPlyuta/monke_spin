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ЧДП Каранга\"/>
    </mc:Choice>
  </mc:AlternateContent>
  <xr:revisionPtr revIDLastSave="0" documentId="13_ncr:1_{99750F36-AB4F-46FE-B717-6AAD205F7863}" xr6:coauthVersionLast="37" xr6:coauthVersionMax="37" xr10:uidLastSave="{00000000-0000-0000-0000-000000000000}"/>
  <bookViews>
    <workbookView xWindow="0" yWindow="0" windowWidth="15345" windowHeight="3870" tabRatio="820" firstSheet="2" activeTab="5" xr2:uid="{A5A8F993-7629-497A-8869-8A9FD2D77C63}"/>
  </bookViews>
  <sheets>
    <sheet name="Стартовые" sheetId="1" state="hidden" r:id="rId1"/>
    <sheet name="Варианты частичного погашения" sheetId="2" state="hidden" r:id="rId2"/>
    <sheet name="=Проценты до даты платежа" sheetId="3" r:id="rId3"/>
    <sheet name="&lt;Проценты до даты платежа" sheetId="4" r:id="rId4"/>
    <sheet name="&gt;=Проценты до даты платежа" sheetId="5" r:id="rId5"/>
    <sheet name="&gt;=Проценты в дату платежа" sheetId="6" r:id="rId6"/>
    <sheet name="Полное погашение" sheetId="7" r:id="rId7"/>
    <sheet name="Продление по базовой" sheetId="8" state="hidden" r:id="rId8"/>
    <sheet name="Продление по льготной" sheetId="9" state="hidden" r:id="rId9"/>
    <sheet name="Льготный период" sheetId="10" state="hidden" r:id="rId1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6" l="1"/>
  <c r="G45" i="6"/>
  <c r="S46" i="6"/>
  <c r="T45" i="6"/>
  <c r="R45" i="5" l="1"/>
  <c r="AA45" i="3"/>
  <c r="Z45" i="3" s="1"/>
  <c r="Y39" i="4"/>
  <c r="W39" i="4"/>
  <c r="P44" i="4"/>
  <c r="Z40" i="3"/>
  <c r="X40" i="3"/>
  <c r="X34" i="4"/>
  <c r="Y35" i="3"/>
  <c r="P44" i="3"/>
  <c r="AA44" i="3"/>
  <c r="AB44" i="3" s="1"/>
  <c r="Q44" i="3"/>
  <c r="H43" i="4"/>
  <c r="H44" i="3"/>
  <c r="R44" i="4"/>
  <c r="R45" i="3"/>
  <c r="F43" i="4"/>
  <c r="F44" i="3"/>
  <c r="E44" i="3" s="1"/>
  <c r="F43" i="3"/>
  <c r="P45" i="3"/>
  <c r="O45" i="3" s="1"/>
  <c r="F44" i="5"/>
  <c r="E44" i="5" s="1"/>
  <c r="D44" i="5"/>
  <c r="P45" i="5"/>
  <c r="C59" i="5"/>
  <c r="B59" i="5"/>
  <c r="AC40" i="7" l="1"/>
  <c r="AC41" i="6"/>
  <c r="AF40" i="5"/>
  <c r="AD43" i="5" l="1"/>
  <c r="AE46" i="6"/>
  <c r="S44" i="7"/>
  <c r="R44" i="7"/>
  <c r="AD45" i="6"/>
  <c r="Q45" i="5"/>
  <c r="P47" i="6"/>
  <c r="R47" i="6" s="1"/>
  <c r="AA40" i="7"/>
  <c r="R44" i="5"/>
  <c r="AD38" i="7"/>
  <c r="Q40" i="7"/>
  <c r="M60" i="4"/>
  <c r="S44" i="5" l="1"/>
  <c r="D46" i="6"/>
  <c r="F46" i="6" s="1"/>
  <c r="E46" i="6" s="1"/>
  <c r="O35" i="5"/>
  <c r="E35" i="5"/>
  <c r="AB47" i="6"/>
  <c r="AB51" i="6" s="1"/>
  <c r="AC45" i="6"/>
  <c r="Q45" i="6"/>
  <c r="Q44" i="6"/>
  <c r="AC44" i="6"/>
  <c r="AC36" i="6"/>
  <c r="P44" i="6"/>
  <c r="AB53" i="6" l="1"/>
  <c r="AB49" i="6"/>
  <c r="AB50" i="6"/>
  <c r="AB54" i="6"/>
  <c r="AB48" i="6"/>
  <c r="AB52" i="6"/>
  <c r="AB56" i="6"/>
  <c r="AB55" i="6"/>
  <c r="D47" i="6"/>
  <c r="AF48" i="6"/>
  <c r="AD48" i="6"/>
  <c r="AF47" i="6"/>
  <c r="T47" i="6"/>
  <c r="G44" i="6"/>
  <c r="E17" i="6"/>
  <c r="F44" i="6"/>
  <c r="E44" i="6"/>
  <c r="D44" i="6"/>
  <c r="G17" i="6"/>
  <c r="D18" i="6" s="1"/>
  <c r="P45" i="6"/>
  <c r="C12" i="6"/>
  <c r="C11" i="6"/>
  <c r="D17" i="6"/>
  <c r="F17" i="6"/>
  <c r="E44" i="7"/>
  <c r="Q46" i="7"/>
  <c r="AA38" i="7"/>
  <c r="R43" i="7"/>
  <c r="E45" i="7"/>
  <c r="K43" i="7"/>
  <c r="AD47" i="6" l="1"/>
  <c r="D48" i="6"/>
  <c r="D52" i="6"/>
  <c r="D56" i="6"/>
  <c r="D49" i="6"/>
  <c r="D53" i="6"/>
  <c r="D50" i="6"/>
  <c r="D54" i="6"/>
  <c r="D51" i="6"/>
  <c r="D55" i="6"/>
  <c r="I44" i="6"/>
  <c r="AC50" i="6" l="1"/>
  <c r="AC54" i="6"/>
  <c r="AC48" i="6"/>
  <c r="AE48" i="6" s="1"/>
  <c r="AG48" i="6" s="1"/>
  <c r="AC52" i="6"/>
  <c r="AC56" i="6"/>
  <c r="AC49" i="6"/>
  <c r="AC53" i="6"/>
  <c r="AC47" i="6"/>
  <c r="AE47" i="6" s="1"/>
  <c r="AG47" i="6" s="1"/>
  <c r="AC51" i="6"/>
  <c r="AC55" i="6"/>
  <c r="G46" i="6"/>
  <c r="H46" i="6"/>
  <c r="I46" i="6" l="1"/>
  <c r="S35" i="7" l="1"/>
  <c r="T35" i="7"/>
  <c r="U35" i="7"/>
  <c r="H35" i="7"/>
  <c r="I35" i="7"/>
  <c r="G35" i="7"/>
  <c r="N48" i="7"/>
  <c r="Q35" i="7"/>
  <c r="C12" i="3"/>
  <c r="C11" i="3"/>
  <c r="C12" i="4"/>
  <c r="C11" i="4"/>
  <c r="C12" i="5"/>
  <c r="C11" i="5"/>
  <c r="C11" i="7"/>
  <c r="F35" i="7"/>
  <c r="F17" i="3"/>
  <c r="D17" i="3"/>
  <c r="H17" i="3" s="1"/>
  <c r="AA17" i="3"/>
  <c r="Y17" i="3"/>
  <c r="AC17" i="3" s="1"/>
  <c r="P17" i="3"/>
  <c r="N17" i="3"/>
  <c r="R17" i="3" s="1"/>
  <c r="Z28" i="4"/>
  <c r="Z27" i="4"/>
  <c r="Z26" i="4"/>
  <c r="Z25" i="4"/>
  <c r="Z24" i="4"/>
  <c r="Z23" i="4"/>
  <c r="Z22" i="4"/>
  <c r="Z21" i="4"/>
  <c r="Z20" i="4"/>
  <c r="Z19" i="4"/>
  <c r="Z18" i="4"/>
  <c r="AA17" i="4"/>
  <c r="Z17" i="4"/>
  <c r="AB17" i="4" s="1"/>
  <c r="Y17" i="4"/>
  <c r="AC17" i="4" s="1"/>
  <c r="O28" i="4"/>
  <c r="O27" i="4"/>
  <c r="O26" i="4"/>
  <c r="O25" i="4"/>
  <c r="O24" i="4"/>
  <c r="O23" i="4"/>
  <c r="O22" i="4"/>
  <c r="O21" i="4"/>
  <c r="O20" i="4"/>
  <c r="O19" i="4"/>
  <c r="O18" i="4"/>
  <c r="P17" i="4"/>
  <c r="Q17" i="4" s="1"/>
  <c r="O17" i="4"/>
  <c r="N17" i="4"/>
  <c r="R17" i="4" s="1"/>
  <c r="F17" i="4"/>
  <c r="D17" i="4"/>
  <c r="H17" i="4" s="1"/>
  <c r="Z28" i="5"/>
  <c r="Z27" i="5"/>
  <c r="Z26" i="5"/>
  <c r="Z25" i="5"/>
  <c r="Z24" i="5"/>
  <c r="Z23" i="5"/>
  <c r="Z22" i="5"/>
  <c r="Z21" i="5"/>
  <c r="Z20" i="5"/>
  <c r="Z19" i="5"/>
  <c r="Z18" i="5"/>
  <c r="AA17" i="5"/>
  <c r="AB17" i="5" s="1"/>
  <c r="Z17" i="5"/>
  <c r="Y17" i="5"/>
  <c r="AC17" i="5" s="1"/>
  <c r="O28" i="5"/>
  <c r="O27" i="5"/>
  <c r="O26" i="5"/>
  <c r="O25" i="5"/>
  <c r="O24" i="5"/>
  <c r="O23" i="5"/>
  <c r="O22" i="5"/>
  <c r="O21" i="5"/>
  <c r="O20" i="5"/>
  <c r="O19" i="5"/>
  <c r="O18" i="5"/>
  <c r="P17" i="5"/>
  <c r="Q17" i="5" s="1"/>
  <c r="O17" i="5"/>
  <c r="N17" i="5"/>
  <c r="R17" i="5" s="1"/>
  <c r="F17" i="5"/>
  <c r="D17" i="5"/>
  <c r="H17" i="5" s="1"/>
  <c r="Z28" i="6"/>
  <c r="Z27" i="6"/>
  <c r="Z26" i="6"/>
  <c r="Z25" i="6"/>
  <c r="Z24" i="6"/>
  <c r="Z23" i="6"/>
  <c r="Z22" i="6"/>
  <c r="Z21" i="6"/>
  <c r="Z20" i="6"/>
  <c r="Z19" i="6"/>
  <c r="Z18" i="6"/>
  <c r="AA17" i="6"/>
  <c r="AB17" i="6" s="1"/>
  <c r="Z17" i="6"/>
  <c r="Y17" i="6"/>
  <c r="AC17" i="6" s="1"/>
  <c r="O28" i="6"/>
  <c r="O27" i="6"/>
  <c r="O26" i="6"/>
  <c r="O25" i="6"/>
  <c r="O24" i="6"/>
  <c r="O23" i="6"/>
  <c r="O22" i="6"/>
  <c r="O21" i="6"/>
  <c r="O20" i="6"/>
  <c r="O19" i="6"/>
  <c r="O18" i="6"/>
  <c r="P17" i="6"/>
  <c r="O17" i="6"/>
  <c r="N17" i="6"/>
  <c r="R17" i="6" s="1"/>
  <c r="H17" i="6"/>
  <c r="AC28" i="7"/>
  <c r="AC27" i="7"/>
  <c r="AC26" i="7"/>
  <c r="AC25" i="7"/>
  <c r="AC24" i="7"/>
  <c r="AC23" i="7"/>
  <c r="AC22" i="7"/>
  <c r="AC21" i="7"/>
  <c r="AC20" i="7"/>
  <c r="AC19" i="7"/>
  <c r="AC18" i="7"/>
  <c r="AD17" i="7"/>
  <c r="AC17" i="7"/>
  <c r="AE17" i="7" s="1"/>
  <c r="AB17" i="7"/>
  <c r="AF17" i="7" s="1"/>
  <c r="P17" i="7"/>
  <c r="D19" i="7"/>
  <c r="D17" i="7"/>
  <c r="R17" i="7"/>
  <c r="T17" i="7"/>
  <c r="F17" i="7"/>
  <c r="C12" i="7" s="1"/>
  <c r="H17" i="7"/>
  <c r="Q17" i="6" l="1"/>
  <c r="O21" i="3"/>
  <c r="O25" i="3"/>
  <c r="Z19" i="3"/>
  <c r="Z23" i="3"/>
  <c r="Z27" i="3"/>
  <c r="O18" i="3"/>
  <c r="O26" i="3"/>
  <c r="Z20" i="3"/>
  <c r="Z28" i="3"/>
  <c r="E18" i="3"/>
  <c r="E22" i="3"/>
  <c r="E26" i="3"/>
  <c r="E28" i="3"/>
  <c r="O19" i="3"/>
  <c r="O23" i="3"/>
  <c r="O27" i="3"/>
  <c r="Z21" i="3"/>
  <c r="Z25" i="3"/>
  <c r="O22" i="3"/>
  <c r="Z17" i="3"/>
  <c r="AB17" i="3" s="1"/>
  <c r="Z24" i="3"/>
  <c r="E20" i="3"/>
  <c r="E24" i="3"/>
  <c r="O17" i="3"/>
  <c r="Q17" i="3" s="1"/>
  <c r="O20" i="3"/>
  <c r="O24" i="3"/>
  <c r="O28" i="3"/>
  <c r="Z18" i="3"/>
  <c r="Z22" i="3"/>
  <c r="Z26" i="3"/>
  <c r="E17" i="3"/>
  <c r="G17" i="3" s="1"/>
  <c r="E19" i="3"/>
  <c r="E21" i="3"/>
  <c r="E23" i="3"/>
  <c r="E25" i="3"/>
  <c r="E27" i="3"/>
  <c r="S17" i="3"/>
  <c r="N18" i="3"/>
  <c r="AD17" i="4"/>
  <c r="Y18" i="4"/>
  <c r="S17" i="4"/>
  <c r="N18" i="4"/>
  <c r="E22" i="4"/>
  <c r="E26" i="4"/>
  <c r="E28" i="4"/>
  <c r="E18" i="4"/>
  <c r="E20" i="4"/>
  <c r="E24" i="4"/>
  <c r="E17" i="4"/>
  <c r="G17" i="4" s="1"/>
  <c r="E19" i="4"/>
  <c r="E21" i="4"/>
  <c r="E23" i="4"/>
  <c r="E25" i="4"/>
  <c r="E27" i="4"/>
  <c r="AD17" i="5"/>
  <c r="Y18" i="5"/>
  <c r="S17" i="5"/>
  <c r="N18" i="5"/>
  <c r="E18" i="5"/>
  <c r="E20" i="5"/>
  <c r="E22" i="5"/>
  <c r="E24" i="5"/>
  <c r="E26" i="5"/>
  <c r="E28" i="5"/>
  <c r="E17" i="5"/>
  <c r="G17" i="5" s="1"/>
  <c r="E19" i="5"/>
  <c r="E21" i="5"/>
  <c r="E23" i="5"/>
  <c r="E25" i="5"/>
  <c r="E27" i="5"/>
  <c r="AD17" i="6"/>
  <c r="Y18" i="6"/>
  <c r="S17" i="6"/>
  <c r="N18" i="6"/>
  <c r="O36" i="6" s="1"/>
  <c r="Q36" i="6" s="1"/>
  <c r="E18" i="6"/>
  <c r="E20" i="6"/>
  <c r="E22" i="6"/>
  <c r="E24" i="6"/>
  <c r="E26" i="6"/>
  <c r="E28" i="6"/>
  <c r="E19" i="6"/>
  <c r="E21" i="6"/>
  <c r="E23" i="6"/>
  <c r="E25" i="6"/>
  <c r="E27" i="6"/>
  <c r="AG17" i="7"/>
  <c r="AB18" i="7"/>
  <c r="Q18" i="7"/>
  <c r="Q22" i="7"/>
  <c r="Q26" i="7"/>
  <c r="E17" i="7"/>
  <c r="G17" i="7" s="1"/>
  <c r="I17" i="7" s="1"/>
  <c r="Q19" i="7"/>
  <c r="Q23" i="7"/>
  <c r="Q27" i="7"/>
  <c r="Q17" i="7"/>
  <c r="S17" i="7" s="1"/>
  <c r="Q20" i="7"/>
  <c r="Q24" i="7"/>
  <c r="Q28" i="7"/>
  <c r="Q21" i="7"/>
  <c r="Q25" i="7"/>
  <c r="E22" i="7"/>
  <c r="E21" i="7"/>
  <c r="E20" i="7"/>
  <c r="E26" i="7"/>
  <c r="E18" i="7"/>
  <c r="E25" i="7"/>
  <c r="E27" i="7"/>
  <c r="E24" i="7"/>
  <c r="E28" i="7"/>
  <c r="E23" i="7"/>
  <c r="E19" i="7"/>
  <c r="M44" i="7"/>
  <c r="M45" i="7"/>
  <c r="A45" i="7"/>
  <c r="Y45" i="7"/>
  <c r="Z45" i="6"/>
  <c r="AD44" i="6"/>
  <c r="AB39" i="6" s="1"/>
  <c r="Z56" i="6"/>
  <c r="Z57" i="6"/>
  <c r="Z48" i="6"/>
  <c r="Z49" i="6" s="1"/>
  <c r="Z50" i="6" s="1"/>
  <c r="Z51" i="6" s="1"/>
  <c r="Z52" i="6" s="1"/>
  <c r="Z53" i="6" s="1"/>
  <c r="Z54" i="6" s="1"/>
  <c r="Z55" i="6" s="1"/>
  <c r="Z47" i="6"/>
  <c r="N57" i="6"/>
  <c r="P36" i="6"/>
  <c r="AA36" i="6"/>
  <c r="AE36" i="6" s="1"/>
  <c r="AF36" i="6" s="1"/>
  <c r="AB36" i="6"/>
  <c r="AE44" i="6"/>
  <c r="AA39" i="6" s="1"/>
  <c r="S44" i="6"/>
  <c r="AB44" i="6"/>
  <c r="R44" i="6"/>
  <c r="B61" i="6"/>
  <c r="N48" i="6"/>
  <c r="N47" i="6"/>
  <c r="M57" i="6"/>
  <c r="M46" i="6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N49" i="6"/>
  <c r="N50" i="6"/>
  <c r="N51" i="6"/>
  <c r="N52" i="6"/>
  <c r="N53" i="6" s="1"/>
  <c r="N54" i="6" s="1"/>
  <c r="N55" i="6" s="1"/>
  <c r="N56" i="6" s="1"/>
  <c r="C61" i="6"/>
  <c r="A63" i="6"/>
  <c r="A64" i="6"/>
  <c r="A65" i="6"/>
  <c r="A66" i="6"/>
  <c r="A67" i="6"/>
  <c r="A68" i="6"/>
  <c r="A69" i="6"/>
  <c r="A70" i="6"/>
  <c r="A71" i="6"/>
  <c r="A72" i="6"/>
  <c r="A62" i="6"/>
  <c r="A61" i="6"/>
  <c r="A60" i="6"/>
  <c r="A59" i="6"/>
  <c r="B57" i="6"/>
  <c r="B48" i="6"/>
  <c r="B49" i="6" s="1"/>
  <c r="B50" i="6" s="1"/>
  <c r="B51" i="6" s="1"/>
  <c r="B52" i="6" s="1"/>
  <c r="B53" i="6" s="1"/>
  <c r="B54" i="6" s="1"/>
  <c r="B55" i="6" s="1"/>
  <c r="B56" i="6" s="1"/>
  <c r="B47" i="6"/>
  <c r="L60" i="4"/>
  <c r="B58" i="4"/>
  <c r="A57" i="4"/>
  <c r="A70" i="4"/>
  <c r="A69" i="4"/>
  <c r="A68" i="4"/>
  <c r="A67" i="4"/>
  <c r="A66" i="4"/>
  <c r="A65" i="4"/>
  <c r="A64" i="4"/>
  <c r="A63" i="4"/>
  <c r="A62" i="4"/>
  <c r="A61" i="4"/>
  <c r="A60" i="4"/>
  <c r="A59" i="4"/>
  <c r="C58" i="4"/>
  <c r="A58" i="4"/>
  <c r="K58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Y72" i="5"/>
  <c r="Y71" i="5"/>
  <c r="Y70" i="5"/>
  <c r="Y69" i="5"/>
  <c r="Y68" i="5"/>
  <c r="Y67" i="5"/>
  <c r="Y66" i="5"/>
  <c r="Y65" i="5"/>
  <c r="Y64" i="5"/>
  <c r="Y63" i="5"/>
  <c r="Y62" i="5"/>
  <c r="Y61" i="5"/>
  <c r="AA60" i="5"/>
  <c r="Z60" i="5"/>
  <c r="Y60" i="5"/>
  <c r="Y59" i="5"/>
  <c r="A58" i="5"/>
  <c r="M59" i="5"/>
  <c r="M72" i="5"/>
  <c r="M61" i="5"/>
  <c r="M62" i="5"/>
  <c r="M63" i="5"/>
  <c r="M64" i="5"/>
  <c r="M65" i="5"/>
  <c r="M66" i="5"/>
  <c r="M67" i="5"/>
  <c r="M68" i="5"/>
  <c r="M69" i="5"/>
  <c r="M70" i="5"/>
  <c r="M71" i="5"/>
  <c r="A63" i="5"/>
  <c r="A64" i="5"/>
  <c r="A65" i="5"/>
  <c r="A66" i="5"/>
  <c r="A67" i="5"/>
  <c r="A68" i="5"/>
  <c r="A69" i="5"/>
  <c r="A70" i="5"/>
  <c r="A71" i="5"/>
  <c r="A60" i="5"/>
  <c r="A61" i="5"/>
  <c r="A62" i="5"/>
  <c r="A59" i="5"/>
  <c r="M60" i="5"/>
  <c r="O60" i="5"/>
  <c r="N60" i="5"/>
  <c r="Z56" i="5"/>
  <c r="Z55" i="5"/>
  <c r="Z45" i="5"/>
  <c r="Z46" i="5" s="1"/>
  <c r="Z47" i="5" s="1"/>
  <c r="Z48" i="5" s="1"/>
  <c r="Z49" i="5" s="1"/>
  <c r="Z50" i="5" s="1"/>
  <c r="Z51" i="5" s="1"/>
  <c r="Z52" i="5" s="1"/>
  <c r="Z53" i="5" s="1"/>
  <c r="Z54" i="5" s="1"/>
  <c r="N46" i="5"/>
  <c r="S43" i="5"/>
  <c r="M35" i="5"/>
  <c r="S35" i="5"/>
  <c r="L44" i="4"/>
  <c r="N47" i="5"/>
  <c r="N48" i="5" s="1"/>
  <c r="N49" i="5" s="1"/>
  <c r="N50" i="5" s="1"/>
  <c r="N51" i="5" s="1"/>
  <c r="N52" i="5" s="1"/>
  <c r="N53" i="5" s="1"/>
  <c r="N54" i="5" s="1"/>
  <c r="N55" i="5" s="1"/>
  <c r="N45" i="5"/>
  <c r="B56" i="5"/>
  <c r="N56" i="5"/>
  <c r="B44" i="5"/>
  <c r="B45" i="5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A47" i="6"/>
  <c r="A48" i="6" s="1"/>
  <c r="A46" i="6"/>
  <c r="D42" i="5"/>
  <c r="E45" i="4"/>
  <c r="P43" i="5"/>
  <c r="Q35" i="5"/>
  <c r="R35" i="5" s="1"/>
  <c r="Y45" i="5"/>
  <c r="E44" i="4"/>
  <c r="A43" i="5"/>
  <c r="A44" i="5" s="1"/>
  <c r="Y18" i="3" l="1"/>
  <c r="AD17" i="3"/>
  <c r="I17" i="3"/>
  <c r="D18" i="3"/>
  <c r="AA18" i="3"/>
  <c r="AB18" i="3" s="1"/>
  <c r="AC18" i="3"/>
  <c r="P18" i="3"/>
  <c r="R18" i="3"/>
  <c r="AC18" i="4"/>
  <c r="AA18" i="4"/>
  <c r="AB18" i="4" s="1"/>
  <c r="P18" i="4"/>
  <c r="Q18" i="4" s="1"/>
  <c r="R18" i="4"/>
  <c r="I17" i="4"/>
  <c r="D18" i="4"/>
  <c r="AC18" i="5"/>
  <c r="AA18" i="5"/>
  <c r="AB18" i="5" s="1"/>
  <c r="R43" i="5"/>
  <c r="Q43" i="5" s="1"/>
  <c r="T43" i="5"/>
  <c r="R18" i="5"/>
  <c r="P18" i="5"/>
  <c r="Q18" i="5" s="1"/>
  <c r="I17" i="5"/>
  <c r="D18" i="5"/>
  <c r="AG36" i="6"/>
  <c r="AA18" i="6"/>
  <c r="AB18" i="6" s="1"/>
  <c r="AC18" i="6"/>
  <c r="T36" i="6"/>
  <c r="T44" i="6"/>
  <c r="S36" i="6"/>
  <c r="P18" i="6"/>
  <c r="Q18" i="6" s="1"/>
  <c r="R18" i="6"/>
  <c r="I17" i="6"/>
  <c r="AD18" i="7"/>
  <c r="AE18" i="7" s="1"/>
  <c r="AF18" i="7"/>
  <c r="P18" i="7"/>
  <c r="T18" i="7" s="1"/>
  <c r="U17" i="7"/>
  <c r="R18" i="7"/>
  <c r="S18" i="7" s="1"/>
  <c r="D18" i="7"/>
  <c r="F18" i="7" s="1"/>
  <c r="U36" i="6"/>
  <c r="A49" i="6"/>
  <c r="A50" i="6" s="1"/>
  <c r="A51" i="6" s="1"/>
  <c r="A52" i="6" s="1"/>
  <c r="A53" i="6" s="1"/>
  <c r="A54" i="6" s="1"/>
  <c r="A55" i="6" s="1"/>
  <c r="A56" i="6" s="1"/>
  <c r="A57" i="6" s="1"/>
  <c r="Y46" i="5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A45" i="5"/>
  <c r="A46" i="5" s="1"/>
  <c r="A47" i="5" s="1"/>
  <c r="A48" i="5" s="1"/>
  <c r="A49" i="5" s="1"/>
  <c r="A50" i="5" s="1"/>
  <c r="A51" i="5" s="1"/>
  <c r="A52" i="5" s="1"/>
  <c r="A53" i="5" s="1"/>
  <c r="A54" i="5" s="1"/>
  <c r="V42" i="4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U42" i="4"/>
  <c r="U43" i="4" s="1"/>
  <c r="L46" i="4"/>
  <c r="L45" i="4"/>
  <c r="B44" i="4"/>
  <c r="B43" i="4"/>
  <c r="B45" i="4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A42" i="4"/>
  <c r="A43" i="4" s="1"/>
  <c r="H18" i="3" l="1"/>
  <c r="F18" i="3"/>
  <c r="G18" i="3" s="1"/>
  <c r="I18" i="3" s="1"/>
  <c r="AD18" i="3"/>
  <c r="AB45" i="3"/>
  <c r="Y19" i="3"/>
  <c r="Q18" i="3"/>
  <c r="N35" i="3" s="1"/>
  <c r="AD18" i="4"/>
  <c r="Z34" i="4"/>
  <c r="Y19" i="4"/>
  <c r="S18" i="4"/>
  <c r="N19" i="4"/>
  <c r="F18" i="4"/>
  <c r="G18" i="4" s="1"/>
  <c r="H18" i="4"/>
  <c r="AD18" i="5"/>
  <c r="AD35" i="5"/>
  <c r="Y19" i="5"/>
  <c r="S18" i="5"/>
  <c r="P35" i="5"/>
  <c r="N19" i="5"/>
  <c r="H18" i="5"/>
  <c r="F18" i="5"/>
  <c r="G18" i="5" s="1"/>
  <c r="I18" i="5" s="1"/>
  <c r="AD18" i="6"/>
  <c r="AE45" i="6"/>
  <c r="AD36" i="6"/>
  <c r="Y19" i="6"/>
  <c r="S18" i="6"/>
  <c r="R36" i="6" s="1"/>
  <c r="S45" i="6"/>
  <c r="N19" i="6"/>
  <c r="F18" i="6"/>
  <c r="G18" i="6" s="1"/>
  <c r="H18" i="6"/>
  <c r="AG18" i="7"/>
  <c r="AB19" i="7"/>
  <c r="U18" i="7"/>
  <c r="P19" i="7"/>
  <c r="H18" i="7"/>
  <c r="G18" i="7"/>
  <c r="A55" i="5"/>
  <c r="A56" i="5" s="1"/>
  <c r="U44" i="4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A44" i="4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L47" i="4"/>
  <c r="L48" i="4" s="1"/>
  <c r="L49" i="4" s="1"/>
  <c r="L50" i="4" s="1"/>
  <c r="L51" i="4" s="1"/>
  <c r="L52" i="4" s="1"/>
  <c r="L53" i="4" s="1"/>
  <c r="L54" i="4" s="1"/>
  <c r="L55" i="4" s="1"/>
  <c r="D19" i="3" l="1"/>
  <c r="AA19" i="3"/>
  <c r="AB19" i="3" s="1"/>
  <c r="AC19" i="3"/>
  <c r="S18" i="3"/>
  <c r="Q45" i="3"/>
  <c r="N19" i="3"/>
  <c r="AC19" i="4"/>
  <c r="AA19" i="4"/>
  <c r="AB19" i="4" s="1"/>
  <c r="AD19" i="4" s="1"/>
  <c r="P19" i="4"/>
  <c r="Q19" i="4" s="1"/>
  <c r="R19" i="4"/>
  <c r="N20" i="4"/>
  <c r="I18" i="4"/>
  <c r="D19" i="4"/>
  <c r="AC19" i="5"/>
  <c r="AA19" i="5"/>
  <c r="AB19" i="5" s="1"/>
  <c r="AD19" i="5" s="1"/>
  <c r="R19" i="5"/>
  <c r="P19" i="5"/>
  <c r="Q19" i="5" s="1"/>
  <c r="S19" i="5" s="1"/>
  <c r="D19" i="5"/>
  <c r="AA19" i="6"/>
  <c r="AB19" i="6" s="1"/>
  <c r="Y20" i="6" s="1"/>
  <c r="AC19" i="6"/>
  <c r="R19" i="6"/>
  <c r="P19" i="6"/>
  <c r="Q19" i="6" s="1"/>
  <c r="S19" i="6" s="1"/>
  <c r="I18" i="6"/>
  <c r="D19" i="6"/>
  <c r="AD19" i="7"/>
  <c r="AE19" i="7" s="1"/>
  <c r="AG19" i="7" s="1"/>
  <c r="AF19" i="7"/>
  <c r="T19" i="7"/>
  <c r="R19" i="7"/>
  <c r="S19" i="7" s="1"/>
  <c r="I18" i="7"/>
  <c r="AD19" i="3" l="1"/>
  <c r="H19" i="3"/>
  <c r="F19" i="3"/>
  <c r="G19" i="3" s="1"/>
  <c r="I19" i="3" s="1"/>
  <c r="Y20" i="3"/>
  <c r="R19" i="3"/>
  <c r="P19" i="3"/>
  <c r="Q19" i="3" s="1"/>
  <c r="S19" i="3" s="1"/>
  <c r="Y20" i="4"/>
  <c r="R20" i="4"/>
  <c r="P20" i="4"/>
  <c r="Q20" i="4" s="1"/>
  <c r="S20" i="4" s="1"/>
  <c r="S19" i="4"/>
  <c r="F19" i="4"/>
  <c r="G19" i="4" s="1"/>
  <c r="H19" i="4"/>
  <c r="D20" i="4"/>
  <c r="Y20" i="5"/>
  <c r="N20" i="5"/>
  <c r="H19" i="5"/>
  <c r="F19" i="5"/>
  <c r="G19" i="5" s="1"/>
  <c r="I19" i="5" s="1"/>
  <c r="D20" i="5"/>
  <c r="AC20" i="6"/>
  <c r="AA20" i="6"/>
  <c r="AB20" i="6" s="1"/>
  <c r="AD20" i="6" s="1"/>
  <c r="AD19" i="6"/>
  <c r="N20" i="6"/>
  <c r="F19" i="6"/>
  <c r="G19" i="6" s="1"/>
  <c r="H19" i="6"/>
  <c r="AB20" i="7"/>
  <c r="U19" i="7"/>
  <c r="P20" i="7"/>
  <c r="H19" i="7"/>
  <c r="F19" i="7"/>
  <c r="W17" i="6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L17" i="6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B17" i="6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W17" i="5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L17" i="5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B17" i="5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AA43" i="3"/>
  <c r="AA35" i="3"/>
  <c r="D35" i="3"/>
  <c r="W17" i="4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L17" i="4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I19" i="6" l="1"/>
  <c r="D20" i="3"/>
  <c r="AA20" i="3"/>
  <c r="AB20" i="3" s="1"/>
  <c r="AC20" i="3"/>
  <c r="N20" i="3"/>
  <c r="AA20" i="4"/>
  <c r="AB20" i="4" s="1"/>
  <c r="AD20" i="4" s="1"/>
  <c r="AC20" i="4"/>
  <c r="N21" i="4"/>
  <c r="H20" i="4"/>
  <c r="F20" i="4"/>
  <c r="G20" i="4" s="1"/>
  <c r="I20" i="4" s="1"/>
  <c r="I19" i="4"/>
  <c r="AA20" i="5"/>
  <c r="AB20" i="5" s="1"/>
  <c r="AC20" i="5"/>
  <c r="P20" i="5"/>
  <c r="Q20" i="5" s="1"/>
  <c r="R20" i="5"/>
  <c r="H20" i="5"/>
  <c r="F20" i="5"/>
  <c r="G20" i="5" s="1"/>
  <c r="I20" i="5" s="1"/>
  <c r="Y21" i="6"/>
  <c r="P20" i="6"/>
  <c r="Q20" i="6" s="1"/>
  <c r="R20" i="6"/>
  <c r="D20" i="6"/>
  <c r="AF20" i="7"/>
  <c r="AD20" i="7"/>
  <c r="AE20" i="7" s="1"/>
  <c r="AG20" i="7" s="1"/>
  <c r="T20" i="7"/>
  <c r="R20" i="7"/>
  <c r="S20" i="7" s="1"/>
  <c r="U20" i="7" s="1"/>
  <c r="G19" i="7"/>
  <c r="AB43" i="5"/>
  <c r="X42" i="4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K17" i="6"/>
  <c r="K18" i="6" s="1"/>
  <c r="K19" i="6" s="1"/>
  <c r="V17" i="6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A17" i="5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K17" i="5"/>
  <c r="K18" i="5" s="1"/>
  <c r="K19" i="5" s="1"/>
  <c r="V17" i="5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AB42" i="4"/>
  <c r="A17" i="4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K17" i="4"/>
  <c r="K18" i="4" s="1"/>
  <c r="K19" i="4" s="1"/>
  <c r="V17" i="4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AB47" i="3"/>
  <c r="AB46" i="3"/>
  <c r="Z47" i="3"/>
  <c r="Z48" i="3"/>
  <c r="Z49" i="3"/>
  <c r="Z50" i="3"/>
  <c r="Z51" i="3"/>
  <c r="Z52" i="3"/>
  <c r="Z53" i="3"/>
  <c r="Z54" i="3"/>
  <c r="Z55" i="3"/>
  <c r="Z46" i="3"/>
  <c r="W45" i="3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V45" i="3"/>
  <c r="P43" i="3"/>
  <c r="O47" i="3"/>
  <c r="O48" i="3"/>
  <c r="O49" i="3"/>
  <c r="O50" i="3"/>
  <c r="O51" i="3"/>
  <c r="O52" i="3"/>
  <c r="O53" i="3"/>
  <c r="O54" i="3"/>
  <c r="O55" i="3"/>
  <c r="O46" i="3"/>
  <c r="Q46" i="3"/>
  <c r="Q43" i="3"/>
  <c r="N45" i="3" s="1"/>
  <c r="D44" i="3"/>
  <c r="E47" i="3"/>
  <c r="G46" i="3"/>
  <c r="G45" i="3"/>
  <c r="E46" i="3"/>
  <c r="E45" i="3"/>
  <c r="K46" i="3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L48" i="3"/>
  <c r="L49" i="3"/>
  <c r="L50" i="3"/>
  <c r="L51" i="3"/>
  <c r="L52" i="3" s="1"/>
  <c r="L53" i="3" s="1"/>
  <c r="L54" i="3" s="1"/>
  <c r="L55" i="3" s="1"/>
  <c r="L56" i="3" s="1"/>
  <c r="L46" i="3"/>
  <c r="L45" i="3"/>
  <c r="L47" i="3"/>
  <c r="W17" i="3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L17" i="3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F6" i="3"/>
  <c r="E6" i="3"/>
  <c r="F4" i="3"/>
  <c r="F6" i="4"/>
  <c r="E6" i="4"/>
  <c r="F4" i="4"/>
  <c r="F6" i="5"/>
  <c r="E6" i="5"/>
  <c r="F4" i="5"/>
  <c r="F6" i="6"/>
  <c r="E6" i="6"/>
  <c r="F4" i="6"/>
  <c r="Y42" i="3"/>
  <c r="Y43" i="3" s="1"/>
  <c r="A44" i="6"/>
  <c r="A45" i="6" s="1"/>
  <c r="M44" i="6"/>
  <c r="Y44" i="6"/>
  <c r="N45" i="6"/>
  <c r="B46" i="6"/>
  <c r="S20" i="6" l="1"/>
  <c r="F20" i="3"/>
  <c r="G20" i="3" s="1"/>
  <c r="H20" i="3"/>
  <c r="AD20" i="3"/>
  <c r="Y21" i="3"/>
  <c r="N46" i="3"/>
  <c r="N47" i="3" s="1"/>
  <c r="P20" i="3"/>
  <c r="Q20" i="3" s="1"/>
  <c r="R20" i="3"/>
  <c r="Y21" i="4"/>
  <c r="R21" i="4"/>
  <c r="P21" i="4"/>
  <c r="Q21" i="4" s="1"/>
  <c r="S21" i="4" s="1"/>
  <c r="D21" i="4"/>
  <c r="AD20" i="5"/>
  <c r="Y21" i="5"/>
  <c r="S20" i="5"/>
  <c r="N21" i="5"/>
  <c r="D21" i="5"/>
  <c r="AA21" i="6"/>
  <c r="AB21" i="6" s="1"/>
  <c r="Y22" i="6" s="1"/>
  <c r="AC21" i="6"/>
  <c r="N21" i="6"/>
  <c r="F20" i="6"/>
  <c r="G20" i="6" s="1"/>
  <c r="H20" i="6"/>
  <c r="AB21" i="7"/>
  <c r="P21" i="7"/>
  <c r="I19" i="7"/>
  <c r="D20" i="7"/>
  <c r="N35" i="5"/>
  <c r="AB35" i="5"/>
  <c r="Z42" i="4"/>
  <c r="Y51" i="4"/>
  <c r="Y47" i="4"/>
  <c r="Y45" i="4"/>
  <c r="O49" i="4"/>
  <c r="O53" i="4"/>
  <c r="E48" i="4"/>
  <c r="E52" i="4"/>
  <c r="Y52" i="4"/>
  <c r="Y48" i="4"/>
  <c r="E47" i="4"/>
  <c r="Y50" i="4"/>
  <c r="Y46" i="4"/>
  <c r="O46" i="4"/>
  <c r="O50" i="4"/>
  <c r="O54" i="4"/>
  <c r="E49" i="4"/>
  <c r="E53" i="4"/>
  <c r="O48" i="4"/>
  <c r="O45" i="4"/>
  <c r="E51" i="4"/>
  <c r="Y53" i="4"/>
  <c r="Y49" i="4"/>
  <c r="O47" i="4"/>
  <c r="O51" i="4"/>
  <c r="E46" i="4"/>
  <c r="E50" i="4"/>
  <c r="E54" i="4"/>
  <c r="Y54" i="4"/>
  <c r="O52" i="4"/>
  <c r="K20" i="6"/>
  <c r="K21" i="6" s="1"/>
  <c r="K22" i="6" s="1"/>
  <c r="K23" i="6" s="1"/>
  <c r="K24" i="6" s="1"/>
  <c r="K25" i="6" s="1"/>
  <c r="K26" i="6" s="1"/>
  <c r="K27" i="6" s="1"/>
  <c r="K28" i="6" s="1"/>
  <c r="K29" i="6"/>
  <c r="K20" i="5"/>
  <c r="K21" i="5" s="1"/>
  <c r="K22" i="5" s="1"/>
  <c r="K23" i="5" s="1"/>
  <c r="K24" i="5" s="1"/>
  <c r="K25" i="5" s="1"/>
  <c r="K26" i="5" s="1"/>
  <c r="K27" i="5" s="1"/>
  <c r="K28" i="5" s="1"/>
  <c r="K29" i="5"/>
  <c r="K20" i="4"/>
  <c r="K21" i="4" s="1"/>
  <c r="K22" i="4" s="1"/>
  <c r="K23" i="4" s="1"/>
  <c r="K24" i="4" s="1"/>
  <c r="K25" i="4" s="1"/>
  <c r="K26" i="4" s="1"/>
  <c r="K27" i="4" s="1"/>
  <c r="K28" i="4" s="1"/>
  <c r="K29" i="4"/>
  <c r="V46" i="3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R47" i="3"/>
  <c r="R46" i="3"/>
  <c r="S46" i="3" s="1"/>
  <c r="P46" i="3"/>
  <c r="E54" i="3"/>
  <c r="E55" i="3"/>
  <c r="E50" i="3"/>
  <c r="E52" i="3"/>
  <c r="E48" i="3"/>
  <c r="K17" i="3"/>
  <c r="K18" i="3" s="1"/>
  <c r="K19" i="3" s="1"/>
  <c r="K29" i="3" s="1"/>
  <c r="Z43" i="3"/>
  <c r="E53" i="3"/>
  <c r="E51" i="3"/>
  <c r="E49" i="3"/>
  <c r="V17" i="3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A17" i="3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C35" i="3"/>
  <c r="C35" i="5"/>
  <c r="I35" i="5" s="1"/>
  <c r="C34" i="4"/>
  <c r="M45" i="6"/>
  <c r="Y45" i="6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E35" i="3" l="1"/>
  <c r="I35" i="3" s="1"/>
  <c r="I20" i="3"/>
  <c r="G47" i="3"/>
  <c r="D21" i="3"/>
  <c r="AA21" i="3"/>
  <c r="AB21" i="3" s="1"/>
  <c r="Y22" i="3" s="1"/>
  <c r="AC21" i="3"/>
  <c r="S20" i="3"/>
  <c r="Q47" i="3"/>
  <c r="N21" i="3"/>
  <c r="S47" i="3"/>
  <c r="N48" i="3"/>
  <c r="P47" i="3"/>
  <c r="AC21" i="4"/>
  <c r="AA21" i="4"/>
  <c r="AB21" i="4" s="1"/>
  <c r="AD21" i="4" s="1"/>
  <c r="N22" i="4"/>
  <c r="H21" i="4"/>
  <c r="F21" i="4"/>
  <c r="G21" i="4" s="1"/>
  <c r="I21" i="4" s="1"/>
  <c r="Y22" i="5"/>
  <c r="AC21" i="5"/>
  <c r="AA21" i="5"/>
  <c r="AB21" i="5" s="1"/>
  <c r="AD21" i="5" s="1"/>
  <c r="P21" i="5"/>
  <c r="Q21" i="5" s="1"/>
  <c r="S21" i="5" s="1"/>
  <c r="R21" i="5"/>
  <c r="H21" i="5"/>
  <c r="F21" i="5"/>
  <c r="G21" i="5" s="1"/>
  <c r="I21" i="5" s="1"/>
  <c r="D22" i="5"/>
  <c r="AC22" i="6"/>
  <c r="AA22" i="6"/>
  <c r="AB22" i="6" s="1"/>
  <c r="AD22" i="6" s="1"/>
  <c r="AD21" i="6"/>
  <c r="R21" i="6"/>
  <c r="P21" i="6"/>
  <c r="Q21" i="6" s="1"/>
  <c r="S21" i="6" s="1"/>
  <c r="I20" i="6"/>
  <c r="D21" i="6"/>
  <c r="AF21" i="7"/>
  <c r="AD21" i="7"/>
  <c r="AE21" i="7" s="1"/>
  <c r="AG21" i="7" s="1"/>
  <c r="T21" i="7"/>
  <c r="R21" i="7"/>
  <c r="S21" i="7" s="1"/>
  <c r="U21" i="7" s="1"/>
  <c r="F20" i="7"/>
  <c r="H20" i="7"/>
  <c r="G34" i="4"/>
  <c r="H34" i="4" s="1"/>
  <c r="K20" i="3"/>
  <c r="K21" i="3" s="1"/>
  <c r="K22" i="3" s="1"/>
  <c r="K23" i="3" s="1"/>
  <c r="K24" i="3" s="1"/>
  <c r="K25" i="3" s="1"/>
  <c r="K26" i="3" s="1"/>
  <c r="K27" i="3" s="1"/>
  <c r="K28" i="3" s="1"/>
  <c r="M35" i="3"/>
  <c r="G35" i="3"/>
  <c r="H35" i="3" s="1"/>
  <c r="AF44" i="6"/>
  <c r="G35" i="5"/>
  <c r="H35" i="5" s="1"/>
  <c r="F35" i="3"/>
  <c r="E34" i="4"/>
  <c r="I34" i="4" s="1"/>
  <c r="F35" i="5"/>
  <c r="F34" i="4"/>
  <c r="F21" i="3" l="1"/>
  <c r="G21" i="3" s="1"/>
  <c r="H21" i="3"/>
  <c r="D22" i="3"/>
  <c r="AC22" i="3"/>
  <c r="AA22" i="3"/>
  <c r="AB22" i="3" s="1"/>
  <c r="AD21" i="3"/>
  <c r="AB48" i="3"/>
  <c r="R21" i="3"/>
  <c r="P21" i="3"/>
  <c r="Q21" i="3" s="1"/>
  <c r="N22" i="3" s="1"/>
  <c r="O35" i="3"/>
  <c r="Q35" i="3"/>
  <c r="R35" i="3" s="1"/>
  <c r="P48" i="3"/>
  <c r="R48" i="3"/>
  <c r="Y22" i="4"/>
  <c r="R22" i="4"/>
  <c r="P22" i="4"/>
  <c r="Q22" i="4" s="1"/>
  <c r="S22" i="4" s="1"/>
  <c r="D22" i="4"/>
  <c r="AA22" i="5"/>
  <c r="AB22" i="5" s="1"/>
  <c r="AC22" i="5"/>
  <c r="N22" i="5"/>
  <c r="H22" i="5"/>
  <c r="F22" i="5"/>
  <c r="G22" i="5" s="1"/>
  <c r="I22" i="5" s="1"/>
  <c r="Y23" i="6"/>
  <c r="N22" i="6"/>
  <c r="F21" i="6"/>
  <c r="G21" i="6" s="1"/>
  <c r="D22" i="6" s="1"/>
  <c r="H21" i="6"/>
  <c r="AB22" i="7"/>
  <c r="P22" i="7"/>
  <c r="G20" i="7"/>
  <c r="AE43" i="5"/>
  <c r="N34" i="4"/>
  <c r="D34" i="4"/>
  <c r="AA42" i="4"/>
  <c r="AB43" i="3"/>
  <c r="D35" i="5"/>
  <c r="H22" i="3" l="1"/>
  <c r="F22" i="3"/>
  <c r="G22" i="3" s="1"/>
  <c r="I21" i="3"/>
  <c r="G48" i="3"/>
  <c r="AD22" i="3"/>
  <c r="AB49" i="3"/>
  <c r="Y23" i="3"/>
  <c r="P22" i="3"/>
  <c r="Q22" i="3" s="1"/>
  <c r="R22" i="3"/>
  <c r="S48" i="3"/>
  <c r="S35" i="3"/>
  <c r="S21" i="3"/>
  <c r="Q48" i="3"/>
  <c r="N49" i="3" s="1"/>
  <c r="AA22" i="4"/>
  <c r="AB22" i="4" s="1"/>
  <c r="AC22" i="4"/>
  <c r="N23" i="4"/>
  <c r="F22" i="4"/>
  <c r="G22" i="4" s="1"/>
  <c r="H22" i="4"/>
  <c r="AD22" i="5"/>
  <c r="AA38" i="5"/>
  <c r="Y23" i="5"/>
  <c r="P22" i="5"/>
  <c r="Q22" i="5" s="1"/>
  <c r="R22" i="5"/>
  <c r="D23" i="5"/>
  <c r="AA23" i="6"/>
  <c r="AB23" i="6" s="1"/>
  <c r="AC23" i="6"/>
  <c r="Y24" i="6"/>
  <c r="P22" i="6"/>
  <c r="Q22" i="6" s="1"/>
  <c r="R22" i="6"/>
  <c r="F22" i="6"/>
  <c r="G22" i="6" s="1"/>
  <c r="H22" i="6"/>
  <c r="I21" i="6"/>
  <c r="AF22" i="7"/>
  <c r="AD22" i="7"/>
  <c r="AE22" i="7" s="1"/>
  <c r="AG22" i="7" s="1"/>
  <c r="T22" i="7"/>
  <c r="R22" i="7"/>
  <c r="S22" i="7" s="1"/>
  <c r="U22" i="7" s="1"/>
  <c r="I20" i="7"/>
  <c r="D21" i="7"/>
  <c r="AA35" i="5"/>
  <c r="M34" i="4"/>
  <c r="AC42" i="4"/>
  <c r="Y42" i="4"/>
  <c r="W34" i="4"/>
  <c r="Y34" i="4" s="1"/>
  <c r="G44" i="4"/>
  <c r="AD43" i="3"/>
  <c r="Y45" i="3"/>
  <c r="Y46" i="3" s="1"/>
  <c r="X35" i="3"/>
  <c r="I22" i="6" l="1"/>
  <c r="I22" i="3"/>
  <c r="G49" i="3"/>
  <c r="D23" i="3"/>
  <c r="AC46" i="3"/>
  <c r="AD46" i="3" s="1"/>
  <c r="Y47" i="3"/>
  <c r="AA46" i="3"/>
  <c r="AC23" i="3"/>
  <c r="Y24" i="3"/>
  <c r="AA23" i="3"/>
  <c r="AB23" i="3" s="1"/>
  <c r="AB35" i="3"/>
  <c r="R49" i="3"/>
  <c r="P49" i="3"/>
  <c r="S22" i="3"/>
  <c r="Q49" i="3"/>
  <c r="N23" i="3"/>
  <c r="AD22" i="4"/>
  <c r="Y23" i="4"/>
  <c r="R23" i="4"/>
  <c r="P23" i="4"/>
  <c r="Q23" i="4" s="1"/>
  <c r="S23" i="4" s="1"/>
  <c r="I22" i="4"/>
  <c r="D23" i="4"/>
  <c r="AC23" i="5"/>
  <c r="AA23" i="5"/>
  <c r="AB23" i="5" s="1"/>
  <c r="AD23" i="5" s="1"/>
  <c r="S22" i="5"/>
  <c r="N23" i="5"/>
  <c r="H23" i="5"/>
  <c r="F23" i="5"/>
  <c r="G23" i="5" s="1"/>
  <c r="I23" i="5" s="1"/>
  <c r="AC24" i="6"/>
  <c r="AA24" i="6"/>
  <c r="AB24" i="6" s="1"/>
  <c r="AD24" i="6" s="1"/>
  <c r="AD23" i="6"/>
  <c r="S22" i="6"/>
  <c r="N23" i="6"/>
  <c r="D23" i="6"/>
  <c r="AB23" i="7"/>
  <c r="P23" i="7"/>
  <c r="H21" i="7"/>
  <c r="F21" i="7"/>
  <c r="AE35" i="5"/>
  <c r="AC35" i="5"/>
  <c r="P34" i="4"/>
  <c r="O34" i="4"/>
  <c r="S34" i="4"/>
  <c r="AA34" i="4"/>
  <c r="Q34" i="4"/>
  <c r="R34" i="4" s="1"/>
  <c r="H23" i="3" l="1"/>
  <c r="F23" i="3"/>
  <c r="G23" i="3" s="1"/>
  <c r="S49" i="3"/>
  <c r="AD23" i="3"/>
  <c r="AB50" i="3"/>
  <c r="Y48" i="3"/>
  <c r="AA47" i="3"/>
  <c r="AC47" i="3"/>
  <c r="AD47" i="3" s="1"/>
  <c r="AC24" i="3"/>
  <c r="AA24" i="3"/>
  <c r="AB24" i="3" s="1"/>
  <c r="Y25" i="3" s="1"/>
  <c r="N50" i="3"/>
  <c r="R23" i="3"/>
  <c r="P23" i="3"/>
  <c r="Q23" i="3" s="1"/>
  <c r="AA23" i="4"/>
  <c r="AB23" i="4" s="1"/>
  <c r="AD23" i="4" s="1"/>
  <c r="AC23" i="4"/>
  <c r="N24" i="4"/>
  <c r="F23" i="4"/>
  <c r="G23" i="4" s="1"/>
  <c r="H23" i="4"/>
  <c r="D24" i="4"/>
  <c r="Y24" i="5"/>
  <c r="P23" i="5"/>
  <c r="Q23" i="5" s="1"/>
  <c r="S23" i="5" s="1"/>
  <c r="R23" i="5"/>
  <c r="D24" i="5"/>
  <c r="Y25" i="6"/>
  <c r="R23" i="6"/>
  <c r="P23" i="6"/>
  <c r="Q23" i="6" s="1"/>
  <c r="S23" i="6" s="1"/>
  <c r="F23" i="6"/>
  <c r="G23" i="6" s="1"/>
  <c r="H23" i="6"/>
  <c r="AF23" i="7"/>
  <c r="AD23" i="7"/>
  <c r="AE23" i="7" s="1"/>
  <c r="AG23" i="7" s="1"/>
  <c r="T23" i="7"/>
  <c r="R23" i="7"/>
  <c r="S23" i="7" s="1"/>
  <c r="U23" i="7" s="1"/>
  <c r="G21" i="7"/>
  <c r="Q45" i="4"/>
  <c r="G45" i="4"/>
  <c r="P35" i="3"/>
  <c r="I23" i="6" l="1"/>
  <c r="I23" i="3"/>
  <c r="G50" i="3"/>
  <c r="D24" i="3"/>
  <c r="AC25" i="3"/>
  <c r="AA25" i="3"/>
  <c r="AB25" i="3" s="1"/>
  <c r="Y49" i="3"/>
  <c r="AC48" i="3"/>
  <c r="AD48" i="3" s="1"/>
  <c r="AA48" i="3"/>
  <c r="AD24" i="3"/>
  <c r="AB51" i="3"/>
  <c r="S23" i="3"/>
  <c r="Q50" i="3"/>
  <c r="N51" i="3" s="1"/>
  <c r="N24" i="3"/>
  <c r="R50" i="3"/>
  <c r="P50" i="3"/>
  <c r="Y24" i="4"/>
  <c r="P24" i="4"/>
  <c r="Q24" i="4" s="1"/>
  <c r="R24" i="4"/>
  <c r="H24" i="4"/>
  <c r="F24" i="4"/>
  <c r="G24" i="4" s="1"/>
  <c r="I24" i="4" s="1"/>
  <c r="I23" i="4"/>
  <c r="AA24" i="5"/>
  <c r="AB24" i="5" s="1"/>
  <c r="AC24" i="5"/>
  <c r="N24" i="5"/>
  <c r="F24" i="5"/>
  <c r="G24" i="5" s="1"/>
  <c r="H24" i="5"/>
  <c r="AC25" i="6"/>
  <c r="AA25" i="6"/>
  <c r="AB25" i="6" s="1"/>
  <c r="N24" i="6"/>
  <c r="D24" i="6"/>
  <c r="AB24" i="7"/>
  <c r="P24" i="7"/>
  <c r="I21" i="7"/>
  <c r="D22" i="7"/>
  <c r="AD25" i="6" l="1"/>
  <c r="F24" i="3"/>
  <c r="G24" i="3" s="1"/>
  <c r="H24" i="3"/>
  <c r="S50" i="3"/>
  <c r="AD25" i="3"/>
  <c r="AB52" i="3"/>
  <c r="Y26" i="3"/>
  <c r="Y50" i="3"/>
  <c r="AC49" i="3"/>
  <c r="AD49" i="3" s="1"/>
  <c r="AA49" i="3"/>
  <c r="P24" i="3"/>
  <c r="Q24" i="3" s="1"/>
  <c r="R24" i="3"/>
  <c r="R51" i="3"/>
  <c r="P51" i="3"/>
  <c r="AC24" i="4"/>
  <c r="AA24" i="4"/>
  <c r="AB24" i="4" s="1"/>
  <c r="AD24" i="4" s="1"/>
  <c r="S24" i="4"/>
  <c r="N25" i="4"/>
  <c r="D25" i="4"/>
  <c r="AD24" i="5"/>
  <c r="Y25" i="5"/>
  <c r="R24" i="5"/>
  <c r="P24" i="5"/>
  <c r="Q24" i="5" s="1"/>
  <c r="S24" i="5" s="1"/>
  <c r="I24" i="5"/>
  <c r="D25" i="5"/>
  <c r="Y26" i="6"/>
  <c r="P24" i="6"/>
  <c r="Q24" i="6" s="1"/>
  <c r="R24" i="6"/>
  <c r="F24" i="6"/>
  <c r="G24" i="6" s="1"/>
  <c r="H24" i="6"/>
  <c r="AF24" i="7"/>
  <c r="AD24" i="7"/>
  <c r="AE24" i="7" s="1"/>
  <c r="AG24" i="7" s="1"/>
  <c r="T24" i="7"/>
  <c r="R24" i="7"/>
  <c r="S24" i="7" s="1"/>
  <c r="F22" i="7"/>
  <c r="H22" i="7"/>
  <c r="AA45" i="4"/>
  <c r="Q46" i="4"/>
  <c r="I24" i="6" l="1"/>
  <c r="I24" i="3"/>
  <c r="G51" i="3"/>
  <c r="D25" i="3"/>
  <c r="AC26" i="3"/>
  <c r="AA26" i="3"/>
  <c r="AB26" i="3" s="1"/>
  <c r="Y27" i="3" s="1"/>
  <c r="AC50" i="3"/>
  <c r="AD50" i="3" s="1"/>
  <c r="Y51" i="3"/>
  <c r="AA50" i="3"/>
  <c r="S24" i="3"/>
  <c r="Q51" i="3"/>
  <c r="N25" i="3"/>
  <c r="Y25" i="4"/>
  <c r="R25" i="4"/>
  <c r="P25" i="4"/>
  <c r="Q25" i="4" s="1"/>
  <c r="S25" i="4" s="1"/>
  <c r="H25" i="4"/>
  <c r="F25" i="4"/>
  <c r="G25" i="4" s="1"/>
  <c r="I25" i="4" s="1"/>
  <c r="AA25" i="5"/>
  <c r="AB25" i="5" s="1"/>
  <c r="AC25" i="5"/>
  <c r="Y26" i="5"/>
  <c r="N25" i="5"/>
  <c r="H25" i="5"/>
  <c r="F25" i="5"/>
  <c r="G25" i="5" s="1"/>
  <c r="I25" i="5" s="1"/>
  <c r="AC26" i="6"/>
  <c r="AA26" i="6"/>
  <c r="AB26" i="6" s="1"/>
  <c r="S24" i="6"/>
  <c r="N25" i="6"/>
  <c r="D25" i="6"/>
  <c r="AB25" i="7"/>
  <c r="U24" i="7"/>
  <c r="P25" i="7"/>
  <c r="G22" i="7"/>
  <c r="AA46" i="4"/>
  <c r="G46" i="4"/>
  <c r="AD26" i="6" l="1"/>
  <c r="F25" i="3"/>
  <c r="G25" i="3" s="1"/>
  <c r="H25" i="3"/>
  <c r="D26" i="3"/>
  <c r="AC27" i="3"/>
  <c r="AA27" i="3"/>
  <c r="AB27" i="3" s="1"/>
  <c r="AD26" i="3"/>
  <c r="AB53" i="3"/>
  <c r="AC51" i="3"/>
  <c r="AD51" i="3" s="1"/>
  <c r="AA51" i="3"/>
  <c r="Y52" i="3"/>
  <c r="R25" i="3"/>
  <c r="P25" i="3"/>
  <c r="Q25" i="3" s="1"/>
  <c r="N26" i="3" s="1"/>
  <c r="S51" i="3"/>
  <c r="N52" i="3"/>
  <c r="AC25" i="4"/>
  <c r="AA25" i="4"/>
  <c r="AB25" i="4" s="1"/>
  <c r="AD25" i="4" s="1"/>
  <c r="N26" i="4"/>
  <c r="D26" i="4"/>
  <c r="AC26" i="5"/>
  <c r="AA26" i="5"/>
  <c r="AB26" i="5" s="1"/>
  <c r="AD26" i="5" s="1"/>
  <c r="AD25" i="5"/>
  <c r="R25" i="5"/>
  <c r="P25" i="5"/>
  <c r="Q25" i="5" s="1"/>
  <c r="S25" i="5" s="1"/>
  <c r="D26" i="5"/>
  <c r="Y27" i="6"/>
  <c r="R25" i="6"/>
  <c r="P25" i="6"/>
  <c r="Q25" i="6" s="1"/>
  <c r="S25" i="6" s="1"/>
  <c r="H25" i="6"/>
  <c r="F25" i="6"/>
  <c r="G25" i="6" s="1"/>
  <c r="AD25" i="7"/>
  <c r="AE25" i="7" s="1"/>
  <c r="AF25" i="7"/>
  <c r="T25" i="7"/>
  <c r="R25" i="7"/>
  <c r="S25" i="7" s="1"/>
  <c r="P26" i="7" s="1"/>
  <c r="I22" i="7"/>
  <c r="D23" i="7"/>
  <c r="AA47" i="4"/>
  <c r="I25" i="6" l="1"/>
  <c r="H26" i="3"/>
  <c r="F26" i="3"/>
  <c r="G26" i="3" s="1"/>
  <c r="I25" i="3"/>
  <c r="G52" i="3"/>
  <c r="AC52" i="3"/>
  <c r="AD52" i="3" s="1"/>
  <c r="Y53" i="3"/>
  <c r="AA52" i="3"/>
  <c r="AD27" i="3"/>
  <c r="AB54" i="3"/>
  <c r="Y28" i="3"/>
  <c r="P26" i="3"/>
  <c r="Q26" i="3" s="1"/>
  <c r="R26" i="3"/>
  <c r="S25" i="3"/>
  <c r="Q52" i="3"/>
  <c r="N53" i="3" s="1"/>
  <c r="R52" i="3"/>
  <c r="S52" i="3" s="1"/>
  <c r="P52" i="3"/>
  <c r="Y26" i="4"/>
  <c r="P26" i="4"/>
  <c r="Q26" i="4" s="1"/>
  <c r="R26" i="4"/>
  <c r="D27" i="4"/>
  <c r="F26" i="4"/>
  <c r="G26" i="4" s="1"/>
  <c r="H26" i="4"/>
  <c r="Y27" i="5"/>
  <c r="N26" i="5"/>
  <c r="F26" i="5"/>
  <c r="G26" i="5" s="1"/>
  <c r="H26" i="5"/>
  <c r="AC27" i="6"/>
  <c r="AA27" i="6"/>
  <c r="AB27" i="6" s="1"/>
  <c r="AD27" i="6" s="1"/>
  <c r="N26" i="6"/>
  <c r="D26" i="6"/>
  <c r="AG25" i="7"/>
  <c r="AB26" i="7"/>
  <c r="T26" i="7"/>
  <c r="R26" i="7"/>
  <c r="S26" i="7" s="1"/>
  <c r="U25" i="7"/>
  <c r="H23" i="7"/>
  <c r="F23" i="7"/>
  <c r="G23" i="7" s="1"/>
  <c r="Q47" i="4"/>
  <c r="I26" i="3" l="1"/>
  <c r="G53" i="3"/>
  <c r="D27" i="3"/>
  <c r="AC28" i="3"/>
  <c r="AA28" i="3"/>
  <c r="AB28" i="3" s="1"/>
  <c r="AC53" i="3"/>
  <c r="AD53" i="3" s="1"/>
  <c r="Y54" i="3"/>
  <c r="AA53" i="3"/>
  <c r="R53" i="3"/>
  <c r="P53" i="3"/>
  <c r="N54" i="3"/>
  <c r="S26" i="3"/>
  <c r="Q53" i="3"/>
  <c r="S53" i="3" s="1"/>
  <c r="N27" i="3"/>
  <c r="AA26" i="4"/>
  <c r="AB26" i="4" s="1"/>
  <c r="AD26" i="4" s="1"/>
  <c r="AC26" i="4"/>
  <c r="S26" i="4"/>
  <c r="N27" i="4"/>
  <c r="I26" i="4"/>
  <c r="F27" i="4"/>
  <c r="G27" i="4" s="1"/>
  <c r="H27" i="4"/>
  <c r="D28" i="4"/>
  <c r="AC27" i="5"/>
  <c r="AA27" i="5"/>
  <c r="AB27" i="5" s="1"/>
  <c r="AD27" i="5" s="1"/>
  <c r="R26" i="5"/>
  <c r="P26" i="5"/>
  <c r="Q26" i="5" s="1"/>
  <c r="S26" i="5" s="1"/>
  <c r="I26" i="5"/>
  <c r="D27" i="5"/>
  <c r="Y28" i="6"/>
  <c r="P26" i="6"/>
  <c r="Q26" i="6" s="1"/>
  <c r="R26" i="6"/>
  <c r="F26" i="6"/>
  <c r="G26" i="6" s="1"/>
  <c r="I26" i="6" s="1"/>
  <c r="H26" i="6"/>
  <c r="AF26" i="7"/>
  <c r="AD26" i="7"/>
  <c r="AE26" i="7" s="1"/>
  <c r="AG26" i="7" s="1"/>
  <c r="U26" i="7"/>
  <c r="P27" i="7"/>
  <c r="I23" i="7"/>
  <c r="D24" i="7"/>
  <c r="Q48" i="4"/>
  <c r="G47" i="4"/>
  <c r="AA48" i="4"/>
  <c r="H27" i="3" l="1"/>
  <c r="F27" i="3"/>
  <c r="G27" i="3" s="1"/>
  <c r="D28" i="3" s="1"/>
  <c r="AD28" i="3"/>
  <c r="AB55" i="3"/>
  <c r="Y29" i="3"/>
  <c r="AC54" i="3"/>
  <c r="AD54" i="3" s="1"/>
  <c r="AA54" i="3"/>
  <c r="Y55" i="3"/>
  <c r="R54" i="3"/>
  <c r="P54" i="3"/>
  <c r="R27" i="3"/>
  <c r="P27" i="3"/>
  <c r="Q27" i="3" s="1"/>
  <c r="Y27" i="4"/>
  <c r="P27" i="4"/>
  <c r="Q27" i="4" s="1"/>
  <c r="R27" i="4"/>
  <c r="N28" i="4"/>
  <c r="H28" i="4"/>
  <c r="F28" i="4"/>
  <c r="G28" i="4" s="1"/>
  <c r="I27" i="4"/>
  <c r="Y28" i="5"/>
  <c r="N27" i="5"/>
  <c r="H27" i="5"/>
  <c r="F27" i="5"/>
  <c r="G27" i="5" s="1"/>
  <c r="I27" i="5" s="1"/>
  <c r="AA28" i="6"/>
  <c r="AB28" i="6" s="1"/>
  <c r="AC28" i="6"/>
  <c r="S26" i="6"/>
  <c r="N27" i="6"/>
  <c r="D27" i="6"/>
  <c r="AB27" i="7"/>
  <c r="T27" i="7"/>
  <c r="R27" i="7"/>
  <c r="S27" i="7" s="1"/>
  <c r="P28" i="7" s="1"/>
  <c r="F24" i="7"/>
  <c r="G24" i="7" s="1"/>
  <c r="D25" i="7" s="1"/>
  <c r="H24" i="7"/>
  <c r="Q49" i="4"/>
  <c r="H28" i="3" l="1"/>
  <c r="F28" i="3"/>
  <c r="G28" i="3" s="1"/>
  <c r="I27" i="3"/>
  <c r="G54" i="3"/>
  <c r="Z29" i="3"/>
  <c r="AC29" i="3"/>
  <c r="AA29" i="3"/>
  <c r="AC55" i="3"/>
  <c r="AD55" i="3" s="1"/>
  <c r="Y56" i="3"/>
  <c r="AA55" i="3"/>
  <c r="S27" i="3"/>
  <c r="Q54" i="3"/>
  <c r="N55" i="3" s="1"/>
  <c r="N28" i="3"/>
  <c r="S54" i="3"/>
  <c r="AA27" i="4"/>
  <c r="AB27" i="4" s="1"/>
  <c r="AD27" i="4" s="1"/>
  <c r="AC27" i="4"/>
  <c r="Y28" i="4"/>
  <c r="R28" i="4"/>
  <c r="P28" i="4"/>
  <c r="Q28" i="4" s="1"/>
  <c r="S28" i="4" s="1"/>
  <c r="S27" i="4"/>
  <c r="I28" i="4"/>
  <c r="D29" i="4"/>
  <c r="Y29" i="5"/>
  <c r="AA28" i="5"/>
  <c r="AB28" i="5" s="1"/>
  <c r="AC28" i="5"/>
  <c r="R27" i="5"/>
  <c r="P27" i="5"/>
  <c r="Q27" i="5" s="1"/>
  <c r="S27" i="5" s="1"/>
  <c r="D28" i="5"/>
  <c r="AD28" i="6"/>
  <c r="Y29" i="6"/>
  <c r="P27" i="6"/>
  <c r="Q27" i="6" s="1"/>
  <c r="R27" i="6"/>
  <c r="H27" i="6"/>
  <c r="F27" i="6"/>
  <c r="G27" i="6" s="1"/>
  <c r="I27" i="6" s="1"/>
  <c r="AD27" i="7"/>
  <c r="AE27" i="7" s="1"/>
  <c r="AB28" i="7" s="1"/>
  <c r="AF27" i="7"/>
  <c r="R28" i="7"/>
  <c r="S28" i="7" s="1"/>
  <c r="T28" i="7"/>
  <c r="U27" i="7"/>
  <c r="H25" i="7"/>
  <c r="F25" i="7"/>
  <c r="G25" i="7" s="1"/>
  <c r="D26" i="7" s="1"/>
  <c r="I24" i="7"/>
  <c r="Q50" i="4"/>
  <c r="Q51" i="4"/>
  <c r="AA49" i="4"/>
  <c r="S27" i="6" l="1"/>
  <c r="I28" i="3"/>
  <c r="G55" i="3"/>
  <c r="D29" i="3"/>
  <c r="AC56" i="3"/>
  <c r="AA56" i="3"/>
  <c r="AB29" i="3"/>
  <c r="Z30" i="3"/>
  <c r="P28" i="3"/>
  <c r="Q28" i="3" s="1"/>
  <c r="R28" i="3"/>
  <c r="R55" i="3"/>
  <c r="P55" i="3"/>
  <c r="AC28" i="4"/>
  <c r="AA28" i="4"/>
  <c r="AB28" i="4" s="1"/>
  <c r="AD28" i="4" s="1"/>
  <c r="N29" i="4"/>
  <c r="H29" i="4"/>
  <c r="F29" i="4"/>
  <c r="E29" i="4"/>
  <c r="AD28" i="5"/>
  <c r="Z29" i="5"/>
  <c r="AA29" i="5"/>
  <c r="AC29" i="5"/>
  <c r="N28" i="5"/>
  <c r="F28" i="5"/>
  <c r="G28" i="5" s="1"/>
  <c r="H28" i="5"/>
  <c r="Z29" i="6"/>
  <c r="AA29" i="6"/>
  <c r="AC29" i="6"/>
  <c r="N28" i="6"/>
  <c r="D28" i="6"/>
  <c r="AF28" i="7"/>
  <c r="AD28" i="7"/>
  <c r="AE28" i="7" s="1"/>
  <c r="AG28" i="7" s="1"/>
  <c r="AG27" i="7"/>
  <c r="U28" i="7"/>
  <c r="P29" i="7"/>
  <c r="F26" i="7"/>
  <c r="G26" i="7" s="1"/>
  <c r="H26" i="7"/>
  <c r="I25" i="7"/>
  <c r="G48" i="4"/>
  <c r="H29" i="3" l="1"/>
  <c r="F29" i="3"/>
  <c r="E29" i="3"/>
  <c r="AD29" i="3"/>
  <c r="AB56" i="3"/>
  <c r="AD56" i="3" s="1"/>
  <c r="S28" i="3"/>
  <c r="Q55" i="3"/>
  <c r="N29" i="3"/>
  <c r="Y29" i="4"/>
  <c r="O29" i="4"/>
  <c r="R29" i="4"/>
  <c r="P29" i="4"/>
  <c r="G29" i="4"/>
  <c r="E30" i="4"/>
  <c r="AB29" i="5"/>
  <c r="AD29" i="5" s="1"/>
  <c r="Z30" i="5"/>
  <c r="P28" i="5"/>
  <c r="Q28" i="5" s="1"/>
  <c r="R28" i="5"/>
  <c r="I28" i="5"/>
  <c r="D29" i="5"/>
  <c r="AB29" i="6"/>
  <c r="AD29" i="6" s="1"/>
  <c r="Z30" i="6"/>
  <c r="R28" i="6"/>
  <c r="P28" i="6"/>
  <c r="Q28" i="6" s="1"/>
  <c r="S28" i="6" s="1"/>
  <c r="F28" i="6"/>
  <c r="G28" i="6" s="1"/>
  <c r="H28" i="6"/>
  <c r="AB29" i="7"/>
  <c r="Q29" i="7"/>
  <c r="R29" i="7"/>
  <c r="T29" i="7"/>
  <c r="I26" i="7"/>
  <c r="D27" i="7"/>
  <c r="Q52" i="4"/>
  <c r="I28" i="6" l="1"/>
  <c r="G29" i="3"/>
  <c r="E30" i="3"/>
  <c r="S55" i="3"/>
  <c r="N56" i="3"/>
  <c r="O29" i="3"/>
  <c r="R29" i="3"/>
  <c r="P29" i="3"/>
  <c r="Z29" i="4"/>
  <c r="AC29" i="4"/>
  <c r="AA29" i="4"/>
  <c r="Q29" i="4"/>
  <c r="S29" i="4" s="1"/>
  <c r="O30" i="4"/>
  <c r="I29" i="4"/>
  <c r="G55" i="4"/>
  <c r="S28" i="5"/>
  <c r="N29" i="5"/>
  <c r="H29" i="5"/>
  <c r="F29" i="5"/>
  <c r="E29" i="5"/>
  <c r="N29" i="6"/>
  <c r="D29" i="6"/>
  <c r="AC29" i="7"/>
  <c r="AF29" i="7"/>
  <c r="AD29" i="7"/>
  <c r="S29" i="7"/>
  <c r="U29" i="7" s="1"/>
  <c r="H27" i="7"/>
  <c r="F27" i="7"/>
  <c r="G27" i="7" s="1"/>
  <c r="D28" i="7" s="1"/>
  <c r="AA50" i="4"/>
  <c r="AA51" i="4"/>
  <c r="I29" i="3" l="1"/>
  <c r="G56" i="3"/>
  <c r="Q29" i="3"/>
  <c r="O30" i="3"/>
  <c r="R56" i="3"/>
  <c r="P56" i="3"/>
  <c r="AB29" i="4"/>
  <c r="AD29" i="4" s="1"/>
  <c r="Z30" i="4"/>
  <c r="O29" i="5"/>
  <c r="P29" i="5"/>
  <c r="R29" i="5"/>
  <c r="G29" i="5"/>
  <c r="I29" i="5" s="1"/>
  <c r="E30" i="5"/>
  <c r="O29" i="6"/>
  <c r="R29" i="6"/>
  <c r="P29" i="6"/>
  <c r="H29" i="6"/>
  <c r="F29" i="6"/>
  <c r="E29" i="6"/>
  <c r="AE29" i="7"/>
  <c r="AG29" i="7" s="1"/>
  <c r="F28" i="7"/>
  <c r="G28" i="7" s="1"/>
  <c r="H28" i="7"/>
  <c r="I27" i="7"/>
  <c r="G49" i="4"/>
  <c r="Q53" i="4"/>
  <c r="S29" i="3" l="1"/>
  <c r="Q56" i="3"/>
  <c r="S56" i="3" s="1"/>
  <c r="Q29" i="5"/>
  <c r="S29" i="5" s="1"/>
  <c r="O30" i="5"/>
  <c r="Q29" i="6"/>
  <c r="S29" i="6" s="1"/>
  <c r="O30" i="6"/>
  <c r="G29" i="6"/>
  <c r="I29" i="6" s="1"/>
  <c r="E30" i="6"/>
  <c r="I28" i="7"/>
  <c r="D29" i="7"/>
  <c r="G50" i="4"/>
  <c r="G51" i="4"/>
  <c r="Q54" i="4"/>
  <c r="AA52" i="4"/>
  <c r="F29" i="7" l="1"/>
  <c r="E29" i="7"/>
  <c r="E30" i="7" s="1"/>
  <c r="H29" i="7"/>
  <c r="H30" i="7" s="1"/>
  <c r="G29" i="7" l="1"/>
  <c r="F30" i="7"/>
  <c r="R30" i="6"/>
  <c r="AC30" i="5"/>
  <c r="G52" i="4"/>
  <c r="AA53" i="4"/>
  <c r="R30" i="4"/>
  <c r="I29" i="7" l="1"/>
  <c r="G30" i="7"/>
  <c r="I30" i="7" s="1"/>
  <c r="P30" i="6"/>
  <c r="AA30" i="5"/>
  <c r="H30" i="5"/>
  <c r="Q55" i="4"/>
  <c r="P30" i="4"/>
  <c r="AC30" i="6" l="1"/>
  <c r="Q30" i="6"/>
  <c r="F30" i="5"/>
  <c r="R30" i="5"/>
  <c r="AB30" i="5"/>
  <c r="Q30" i="4"/>
  <c r="AA54" i="4"/>
  <c r="G53" i="4" l="1"/>
  <c r="H30" i="6"/>
  <c r="S30" i="6"/>
  <c r="S31" i="6" s="1"/>
  <c r="O31" i="6"/>
  <c r="AA30" i="6"/>
  <c r="P30" i="5"/>
  <c r="AD30" i="5"/>
  <c r="AD31" i="5" s="1"/>
  <c r="Z31" i="5"/>
  <c r="G30" i="5"/>
  <c r="S30" i="4"/>
  <c r="S31" i="4" s="1"/>
  <c r="O31" i="4"/>
  <c r="G54" i="4"/>
  <c r="R30" i="3"/>
  <c r="AB30" i="6" l="1"/>
  <c r="F30" i="6"/>
  <c r="I30" i="5"/>
  <c r="I31" i="5" s="1"/>
  <c r="E31" i="5"/>
  <c r="Q30" i="5"/>
  <c r="AC30" i="4"/>
  <c r="P30" i="3"/>
  <c r="G30" i="6" l="1"/>
  <c r="AD30" i="6"/>
  <c r="AD31" i="6" s="1"/>
  <c r="Z31" i="6"/>
  <c r="S30" i="5"/>
  <c r="S31" i="5" s="1"/>
  <c r="O31" i="5"/>
  <c r="AA55" i="4"/>
  <c r="AA30" i="4"/>
  <c r="H30" i="4"/>
  <c r="AC30" i="3"/>
  <c r="Q30" i="3"/>
  <c r="I30" i="6" l="1"/>
  <c r="I31" i="6" s="1"/>
  <c r="E31" i="6"/>
  <c r="F30" i="4"/>
  <c r="AB30" i="4"/>
  <c r="AA30" i="3"/>
  <c r="S30" i="3"/>
  <c r="S31" i="3" s="1"/>
  <c r="O31" i="3"/>
  <c r="AD30" i="4" l="1"/>
  <c r="AD31" i="4" s="1"/>
  <c r="Z31" i="4"/>
  <c r="G30" i="4"/>
  <c r="AB30" i="3"/>
  <c r="H30" i="3"/>
  <c r="I30" i="4" l="1"/>
  <c r="I31" i="4" s="1"/>
  <c r="E31" i="4"/>
  <c r="AD30" i="3"/>
  <c r="AD31" i="3" s="1"/>
  <c r="Z31" i="3"/>
  <c r="F30" i="3"/>
  <c r="G30" i="3" l="1"/>
  <c r="I30" i="3" l="1"/>
  <c r="I31" i="3" s="1"/>
  <c r="E31" i="3"/>
  <c r="N17" i="7" l="1"/>
  <c r="M17" i="7" s="1"/>
  <c r="C35" i="7"/>
  <c r="F4" i="7"/>
  <c r="F6" i="7"/>
  <c r="E35" i="7" l="1"/>
  <c r="F43" i="7" s="1"/>
  <c r="M18" i="7"/>
  <c r="N18" i="7"/>
  <c r="E40" i="7" l="1"/>
  <c r="C29" i="8"/>
  <c r="C29" i="9"/>
  <c r="D31" i="8"/>
  <c r="R43" i="3"/>
  <c r="O26" i="10"/>
  <c r="S26" i="10" s="1"/>
  <c r="N26" i="10"/>
  <c r="Q26" i="10"/>
  <c r="R26" i="10" s="1"/>
  <c r="D26" i="10"/>
  <c r="E26" i="10"/>
  <c r="F36" i="10"/>
  <c r="F35" i="10"/>
  <c r="B35" i="10"/>
  <c r="R37" i="10"/>
  <c r="T35" i="10"/>
  <c r="M35" i="10"/>
  <c r="S36" i="10" s="1"/>
  <c r="Q34" i="10"/>
  <c r="M34" i="10"/>
  <c r="L34" i="10"/>
  <c r="L35" i="10" s="1"/>
  <c r="L36" i="10" s="1"/>
  <c r="P19" i="10"/>
  <c r="P18" i="10"/>
  <c r="Q17" i="10"/>
  <c r="P17" i="10"/>
  <c r="O17" i="10"/>
  <c r="M17" i="10"/>
  <c r="M18" i="10" s="1"/>
  <c r="M19" i="10" s="1"/>
  <c r="M20" i="10" s="1"/>
  <c r="L17" i="10"/>
  <c r="L18" i="10" s="1"/>
  <c r="L19" i="10" s="1"/>
  <c r="L20" i="10" s="1"/>
  <c r="F34" i="10"/>
  <c r="E36" i="10" s="1"/>
  <c r="B34" i="10"/>
  <c r="A34" i="10" s="1"/>
  <c r="D17" i="10"/>
  <c r="B17" i="10"/>
  <c r="B18" i="10" s="1"/>
  <c r="B19" i="10" s="1"/>
  <c r="B20" i="10" s="1"/>
  <c r="C10" i="10"/>
  <c r="C11" i="10" s="1"/>
  <c r="C12" i="10" s="1"/>
  <c r="E6" i="10"/>
  <c r="E4" i="10"/>
  <c r="T40" i="8"/>
  <c r="U40" i="8"/>
  <c r="Q40" i="8"/>
  <c r="R40" i="8"/>
  <c r="S40" i="8"/>
  <c r="U38" i="8"/>
  <c r="U39" i="8"/>
  <c r="Q39" i="8"/>
  <c r="T39" i="8"/>
  <c r="T38" i="8"/>
  <c r="T37" i="8"/>
  <c r="P39" i="8"/>
  <c r="S38" i="8"/>
  <c r="R39" i="8" s="1"/>
  <c r="S37" i="8"/>
  <c r="R37" i="8"/>
  <c r="R36" i="8"/>
  <c r="Q37" i="8"/>
  <c r="Q38" i="8"/>
  <c r="Q36" i="8"/>
  <c r="P36" i="8"/>
  <c r="N39" i="8"/>
  <c r="N38" i="8"/>
  <c r="N37" i="8"/>
  <c r="N36" i="8"/>
  <c r="M38" i="8"/>
  <c r="M39" i="8" s="1"/>
  <c r="S34" i="8"/>
  <c r="O29" i="8" s="1"/>
  <c r="P34" i="8"/>
  <c r="R34" i="8" s="1"/>
  <c r="Q34" i="8" s="1"/>
  <c r="M34" i="8"/>
  <c r="M35" i="8" s="1"/>
  <c r="P26" i="8"/>
  <c r="B36" i="9"/>
  <c r="B37" i="9" s="1"/>
  <c r="B38" i="9" s="1"/>
  <c r="B39" i="9" s="1"/>
  <c r="B40" i="9" s="1"/>
  <c r="A35" i="9"/>
  <c r="A34" i="9"/>
  <c r="A36" i="9" s="1"/>
  <c r="A37" i="9" s="1"/>
  <c r="A38" i="9" s="1"/>
  <c r="A39" i="9" s="1"/>
  <c r="A40" i="9" s="1"/>
  <c r="D17" i="9"/>
  <c r="B17" i="9"/>
  <c r="B18" i="9" s="1"/>
  <c r="B19" i="9" s="1"/>
  <c r="B20" i="9" s="1"/>
  <c r="A17" i="9"/>
  <c r="C11" i="9"/>
  <c r="C12" i="9" s="1"/>
  <c r="C10" i="9"/>
  <c r="K33" i="9" s="1"/>
  <c r="E6" i="9"/>
  <c r="E4" i="9"/>
  <c r="A34" i="8"/>
  <c r="A35" i="8" s="1"/>
  <c r="B36" i="8"/>
  <c r="B37" i="8" s="1"/>
  <c r="B38" i="8" s="1"/>
  <c r="B39" i="8" s="1"/>
  <c r="B40" i="8" s="1"/>
  <c r="AM36" i="8"/>
  <c r="AM37" i="8" s="1"/>
  <c r="AA36" i="8"/>
  <c r="AA37" i="8" s="1"/>
  <c r="AR34" i="8"/>
  <c r="AN29" i="8" s="1"/>
  <c r="AO34" i="8"/>
  <c r="AQ34" i="8" s="1"/>
  <c r="AL34" i="8"/>
  <c r="AL35" i="8" s="1"/>
  <c r="AL36" i="8" s="1"/>
  <c r="AF34" i="8"/>
  <c r="AC34" i="8"/>
  <c r="AE34" i="8" s="1"/>
  <c r="Z34" i="8"/>
  <c r="Z35" i="8" s="1"/>
  <c r="AQ26" i="8"/>
  <c r="AO26" i="8"/>
  <c r="AN26" i="8"/>
  <c r="AR26" i="8" s="1"/>
  <c r="AE26" i="8"/>
  <c r="AC26" i="8"/>
  <c r="AB26" i="8"/>
  <c r="AS21" i="8"/>
  <c r="AR21" i="8"/>
  <c r="AQ21" i="8"/>
  <c r="AP21" i="8"/>
  <c r="AG21" i="8"/>
  <c r="AF21" i="8"/>
  <c r="AE21" i="8"/>
  <c r="AD21" i="8"/>
  <c r="AM17" i="8"/>
  <c r="AL17" i="8" s="1"/>
  <c r="AA17" i="8"/>
  <c r="AA18" i="8" s="1"/>
  <c r="AA19" i="8" s="1"/>
  <c r="AA20" i="8" s="1"/>
  <c r="D17" i="8"/>
  <c r="F17" i="8" s="1"/>
  <c r="B17" i="8"/>
  <c r="B18" i="8" s="1"/>
  <c r="B19" i="8" s="1"/>
  <c r="B20" i="8" s="1"/>
  <c r="C10" i="8"/>
  <c r="K33" i="8" s="1"/>
  <c r="E6" i="8"/>
  <c r="E4" i="8"/>
  <c r="AB43" i="7"/>
  <c r="AD43" i="7" s="1"/>
  <c r="Y43" i="7"/>
  <c r="Y44" i="7" s="1"/>
  <c r="P43" i="7"/>
  <c r="M43" i="7"/>
  <c r="A43" i="7"/>
  <c r="Z17" i="7"/>
  <c r="N19" i="7"/>
  <c r="B17" i="7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E6" i="7"/>
  <c r="Y43" i="5"/>
  <c r="Y44" i="5" s="1"/>
  <c r="X38" i="3"/>
  <c r="W43" i="3"/>
  <c r="Z35" i="3" s="1"/>
  <c r="L43" i="3"/>
  <c r="M43" i="5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K42" i="4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A43" i="3"/>
  <c r="T45" i="5" l="1"/>
  <c r="S45" i="5"/>
  <c r="U45" i="5" s="1"/>
  <c r="T43" i="7"/>
  <c r="N20" i="7"/>
  <c r="N21" i="7" s="1"/>
  <c r="N22" i="7" s="1"/>
  <c r="N23" i="7" s="1"/>
  <c r="N24" i="7" s="1"/>
  <c r="N25" i="7" s="1"/>
  <c r="N26" i="7" s="1"/>
  <c r="N27" i="7" s="1"/>
  <c r="N28" i="7" s="1"/>
  <c r="N29" i="7" s="1"/>
  <c r="M19" i="7"/>
  <c r="Z18" i="7"/>
  <c r="Z19" i="7" s="1"/>
  <c r="Z20" i="7" s="1"/>
  <c r="Z21" i="7" s="1"/>
  <c r="Z22" i="7" s="1"/>
  <c r="Z23" i="7" s="1"/>
  <c r="Z24" i="7" s="1"/>
  <c r="Z25" i="7" s="1"/>
  <c r="Z26" i="7" s="1"/>
  <c r="Z27" i="7" s="1"/>
  <c r="Z28" i="7" s="1"/>
  <c r="Z29" i="7" s="1"/>
  <c r="Y17" i="7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K43" i="3"/>
  <c r="K44" i="3" s="1"/>
  <c r="AF43" i="5"/>
  <c r="AG43" i="5" s="1"/>
  <c r="Y38" i="3"/>
  <c r="Z38" i="3" s="1"/>
  <c r="AC35" i="3" s="1"/>
  <c r="W37" i="4"/>
  <c r="O18" i="10"/>
  <c r="S37" i="10"/>
  <c r="T36" i="10"/>
  <c r="T37" i="10" s="1"/>
  <c r="R17" i="10"/>
  <c r="S17" i="10"/>
  <c r="Q35" i="10"/>
  <c r="Q36" i="10"/>
  <c r="P36" i="10" s="1"/>
  <c r="A35" i="10"/>
  <c r="A36" i="10" s="1"/>
  <c r="E35" i="10"/>
  <c r="I26" i="10"/>
  <c r="G26" i="10"/>
  <c r="E19" i="10"/>
  <c r="E18" i="10"/>
  <c r="E17" i="10"/>
  <c r="A17" i="10"/>
  <c r="A18" i="10" s="1"/>
  <c r="A19" i="10" s="1"/>
  <c r="A20" i="10" s="1"/>
  <c r="F17" i="10"/>
  <c r="H26" i="10"/>
  <c r="H17" i="10"/>
  <c r="M36" i="8"/>
  <c r="M37" i="8" s="1"/>
  <c r="W33" i="8"/>
  <c r="P29" i="8"/>
  <c r="T34" i="8"/>
  <c r="D33" i="9"/>
  <c r="F17" i="9"/>
  <c r="C26" i="9"/>
  <c r="E19" i="9"/>
  <c r="E18" i="9"/>
  <c r="E17" i="9"/>
  <c r="H17" i="9"/>
  <c r="A18" i="9"/>
  <c r="A19" i="9" s="1"/>
  <c r="A20" i="9" s="1"/>
  <c r="Z36" i="8"/>
  <c r="AD22" i="8"/>
  <c r="AP22" i="8"/>
  <c r="AH21" i="8"/>
  <c r="AH22" i="8" s="1"/>
  <c r="AG34" i="8"/>
  <c r="AH34" i="8" s="1"/>
  <c r="A17" i="8"/>
  <c r="A18" i="8" s="1"/>
  <c r="A19" i="8" s="1"/>
  <c r="A20" i="8" s="1"/>
  <c r="Z17" i="8"/>
  <c r="Z18" i="8" s="1"/>
  <c r="Z19" i="8" s="1"/>
  <c r="Z20" i="8" s="1"/>
  <c r="AP26" i="8"/>
  <c r="AT26" i="8" s="1"/>
  <c r="AT21" i="8"/>
  <c r="AT22" i="8" s="1"/>
  <c r="A36" i="8"/>
  <c r="A37" i="8" s="1"/>
  <c r="A38" i="8" s="1"/>
  <c r="A39" i="8" s="1"/>
  <c r="A40" i="8" s="1"/>
  <c r="AM38" i="8"/>
  <c r="AA38" i="8"/>
  <c r="Z37" i="8"/>
  <c r="AL37" i="8"/>
  <c r="AM18" i="8"/>
  <c r="AM19" i="8" s="1"/>
  <c r="AM20" i="8" s="1"/>
  <c r="AJ33" i="8"/>
  <c r="AD34" i="8"/>
  <c r="AP34" i="8"/>
  <c r="AF26" i="8"/>
  <c r="AG26" i="8" s="1"/>
  <c r="AV33" i="8"/>
  <c r="C26" i="8"/>
  <c r="D33" i="8"/>
  <c r="D36" i="8" s="1"/>
  <c r="C11" i="8"/>
  <c r="C12" i="8" s="1"/>
  <c r="H17" i="8"/>
  <c r="AD26" i="8"/>
  <c r="AE35" i="8" s="1"/>
  <c r="AF35" i="8" s="1"/>
  <c r="AO29" i="8"/>
  <c r="AP29" i="8" s="1"/>
  <c r="AN31" i="8" s="1"/>
  <c r="AS34" i="8"/>
  <c r="A44" i="7"/>
  <c r="D42" i="7"/>
  <c r="A17" i="7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V43" i="3"/>
  <c r="V44" i="3" s="1"/>
  <c r="P46" i="5" l="1"/>
  <c r="AD35" i="3"/>
  <c r="M20" i="7"/>
  <c r="M21" i="7" s="1"/>
  <c r="M22" i="7" s="1"/>
  <c r="M23" i="7" s="1"/>
  <c r="M24" i="7" s="1"/>
  <c r="M25" i="7" s="1"/>
  <c r="M26" i="7" s="1"/>
  <c r="M27" i="7" s="1"/>
  <c r="M28" i="7" s="1"/>
  <c r="M29" i="7"/>
  <c r="AB35" i="7"/>
  <c r="X37" i="4"/>
  <c r="Y37" i="4" s="1"/>
  <c r="AC45" i="3"/>
  <c r="P57" i="3"/>
  <c r="P58" i="3" s="1"/>
  <c r="Q18" i="10"/>
  <c r="S18" i="10"/>
  <c r="P35" i="10"/>
  <c r="T26" i="10"/>
  <c r="Q37" i="10"/>
  <c r="T17" i="10"/>
  <c r="E37" i="10"/>
  <c r="G17" i="10"/>
  <c r="Q29" i="8"/>
  <c r="U34" i="8"/>
  <c r="O26" i="8"/>
  <c r="F36" i="8"/>
  <c r="E36" i="8" s="1"/>
  <c r="D36" i="9"/>
  <c r="E26" i="9"/>
  <c r="I26" i="9" s="1"/>
  <c r="G26" i="9"/>
  <c r="H26" i="9" s="1"/>
  <c r="G17" i="9"/>
  <c r="D26" i="9"/>
  <c r="Z38" i="8"/>
  <c r="AL18" i="8"/>
  <c r="AL19" i="8" s="1"/>
  <c r="AL20" i="8" s="1"/>
  <c r="AQ35" i="8"/>
  <c r="AR35" i="8" s="1"/>
  <c r="AC36" i="8"/>
  <c r="AJ34" i="8" s="1"/>
  <c r="AL38" i="8"/>
  <c r="AH26" i="8"/>
  <c r="E19" i="8"/>
  <c r="E18" i="8"/>
  <c r="E17" i="8"/>
  <c r="G26" i="8"/>
  <c r="H26" i="8" s="1"/>
  <c r="E26" i="8"/>
  <c r="AT34" i="8"/>
  <c r="AF43" i="7"/>
  <c r="R46" i="5" l="1"/>
  <c r="AB34" i="4"/>
  <c r="AC34" i="4"/>
  <c r="S43" i="7"/>
  <c r="Q30" i="7"/>
  <c r="AE43" i="7"/>
  <c r="AC43" i="7" s="1"/>
  <c r="AC30" i="7"/>
  <c r="P35" i="7"/>
  <c r="Z43" i="4"/>
  <c r="P37" i="10"/>
  <c r="R18" i="10"/>
  <c r="I17" i="10"/>
  <c r="D18" i="10"/>
  <c r="S26" i="8"/>
  <c r="T26" i="8" s="1"/>
  <c r="Q26" i="8"/>
  <c r="R26" i="8"/>
  <c r="C31" i="9"/>
  <c r="F34" i="9" s="1"/>
  <c r="F36" i="9" s="1"/>
  <c r="I17" i="9"/>
  <c r="F26" i="9"/>
  <c r="D18" i="9"/>
  <c r="G17" i="8"/>
  <c r="I26" i="8"/>
  <c r="AD37" i="8"/>
  <c r="AD36" i="8"/>
  <c r="AG36" i="8"/>
  <c r="AE36" i="8"/>
  <c r="AO36" i="8"/>
  <c r="G43" i="7"/>
  <c r="D35" i="7"/>
  <c r="Q46" i="5" l="1"/>
  <c r="Q50" i="5"/>
  <c r="Q54" i="5"/>
  <c r="Q52" i="5"/>
  <c r="Q53" i="5"/>
  <c r="Q47" i="5"/>
  <c r="Q51" i="5"/>
  <c r="Q55" i="5"/>
  <c r="Q48" i="5"/>
  <c r="Q49" i="5"/>
  <c r="AA43" i="4"/>
  <c r="X44" i="4" s="1"/>
  <c r="AG44" i="6"/>
  <c r="AC39" i="6"/>
  <c r="AB45" i="6"/>
  <c r="U44" i="6"/>
  <c r="T18" i="10"/>
  <c r="O19" i="10"/>
  <c r="I35" i="10"/>
  <c r="H18" i="10"/>
  <c r="F18" i="10"/>
  <c r="U26" i="8"/>
  <c r="R35" i="8"/>
  <c r="T29" i="8"/>
  <c r="G35" i="9"/>
  <c r="D37" i="9" s="1"/>
  <c r="F18" i="9"/>
  <c r="H18" i="9"/>
  <c r="E36" i="9"/>
  <c r="H36" i="9"/>
  <c r="AS36" i="8"/>
  <c r="AQ36" i="8"/>
  <c r="AV34" i="8"/>
  <c r="F26" i="8"/>
  <c r="I17" i="8"/>
  <c r="D26" i="8"/>
  <c r="D18" i="8"/>
  <c r="AF36" i="8"/>
  <c r="D44" i="7"/>
  <c r="AB44" i="4" l="1"/>
  <c r="Z44" i="4"/>
  <c r="Y44" i="4" s="1"/>
  <c r="AA44" i="4"/>
  <c r="AC44" i="4" s="1"/>
  <c r="S46" i="5"/>
  <c r="T46" i="5"/>
  <c r="AA35" i="7"/>
  <c r="O35" i="7"/>
  <c r="U43" i="7"/>
  <c r="Q43" i="7"/>
  <c r="AG43" i="7"/>
  <c r="AA57" i="3"/>
  <c r="AA58" i="3" s="1"/>
  <c r="AC57" i="3"/>
  <c r="AD45" i="3"/>
  <c r="AD57" i="3" s="1"/>
  <c r="AF45" i="6"/>
  <c r="R45" i="6"/>
  <c r="Q19" i="10"/>
  <c r="S19" i="10"/>
  <c r="H36" i="10"/>
  <c r="G18" i="10"/>
  <c r="O31" i="8"/>
  <c r="S35" i="8"/>
  <c r="F37" i="9"/>
  <c r="H37" i="9"/>
  <c r="K34" i="9"/>
  <c r="G18" i="9"/>
  <c r="I36" i="9"/>
  <c r="G34" i="9"/>
  <c r="AH36" i="8"/>
  <c r="AC37" i="8"/>
  <c r="H18" i="8"/>
  <c r="F18" i="8"/>
  <c r="H36" i="8"/>
  <c r="AP37" i="8"/>
  <c r="AP36" i="8"/>
  <c r="F44" i="7"/>
  <c r="H44" i="7"/>
  <c r="X45" i="4" l="1"/>
  <c r="P51" i="6"/>
  <c r="P55" i="6"/>
  <c r="P53" i="6"/>
  <c r="P54" i="6"/>
  <c r="P52" i="6"/>
  <c r="P56" i="6"/>
  <c r="P49" i="6"/>
  <c r="P48" i="6"/>
  <c r="P50" i="6"/>
  <c r="AC35" i="7"/>
  <c r="AG35" i="7" s="1"/>
  <c r="AB38" i="7"/>
  <c r="AC38" i="7" s="1"/>
  <c r="AE35" i="7"/>
  <c r="Z56" i="3"/>
  <c r="Z57" i="3" s="1"/>
  <c r="AB57" i="3"/>
  <c r="Z58" i="3" s="1"/>
  <c r="U45" i="6"/>
  <c r="R19" i="10"/>
  <c r="I36" i="10"/>
  <c r="I18" i="10"/>
  <c r="D19" i="10"/>
  <c r="W34" i="8"/>
  <c r="T36" i="8"/>
  <c r="E39" i="9"/>
  <c r="E38" i="9"/>
  <c r="E37" i="9"/>
  <c r="I18" i="9"/>
  <c r="D19" i="9"/>
  <c r="G18" i="8"/>
  <c r="AG37" i="8"/>
  <c r="AE37" i="8"/>
  <c r="AF37" i="8" s="1"/>
  <c r="AR36" i="8"/>
  <c r="Q48" i="6" l="1"/>
  <c r="Q52" i="6"/>
  <c r="Q56" i="6"/>
  <c r="Q54" i="6"/>
  <c r="Q55" i="6"/>
  <c r="Q49" i="6"/>
  <c r="Q53" i="6"/>
  <c r="Q47" i="6"/>
  <c r="S47" i="6" s="1"/>
  <c r="U47" i="6" s="1"/>
  <c r="Q50" i="6"/>
  <c r="Q51" i="6"/>
  <c r="T48" i="6"/>
  <c r="R48" i="6"/>
  <c r="S48" i="6" s="1"/>
  <c r="U48" i="6" s="1"/>
  <c r="P45" i="7"/>
  <c r="R45" i="7" s="1"/>
  <c r="R46" i="7" s="1"/>
  <c r="E46" i="7"/>
  <c r="AD44" i="7"/>
  <c r="U46" i="5"/>
  <c r="P47" i="5"/>
  <c r="R47" i="5" s="1"/>
  <c r="S47" i="5" s="1"/>
  <c r="AB45" i="4"/>
  <c r="AC45" i="4" s="1"/>
  <c r="X46" i="4"/>
  <c r="Z45" i="4"/>
  <c r="R35" i="7"/>
  <c r="AD35" i="7"/>
  <c r="AF35" i="7" s="1"/>
  <c r="AD58" i="3"/>
  <c r="AG45" i="6"/>
  <c r="T19" i="10"/>
  <c r="O20" i="10"/>
  <c r="H19" i="10"/>
  <c r="F19" i="10"/>
  <c r="G37" i="9"/>
  <c r="E41" i="9"/>
  <c r="F19" i="9"/>
  <c r="H19" i="9"/>
  <c r="AH37" i="8"/>
  <c r="AC38" i="8"/>
  <c r="AT36" i="8"/>
  <c r="AO37" i="8"/>
  <c r="I18" i="8"/>
  <c r="D19" i="8"/>
  <c r="G44" i="7"/>
  <c r="Q45" i="7" l="1"/>
  <c r="T45" i="7"/>
  <c r="T46" i="7" s="1"/>
  <c r="AE44" i="7"/>
  <c r="AB45" i="7" s="1"/>
  <c r="AC45" i="7" s="1"/>
  <c r="AC46" i="7" s="1"/>
  <c r="T47" i="5"/>
  <c r="X47" i="4"/>
  <c r="Z46" i="4"/>
  <c r="AB46" i="4"/>
  <c r="AC46" i="4" s="1"/>
  <c r="Q20" i="10"/>
  <c r="S20" i="10"/>
  <c r="S21" i="10" s="1"/>
  <c r="G19" i="10"/>
  <c r="G19" i="9"/>
  <c r="I37" i="9"/>
  <c r="D38" i="9"/>
  <c r="I36" i="8"/>
  <c r="H19" i="8"/>
  <c r="F19" i="8"/>
  <c r="AS37" i="8"/>
  <c r="AQ37" i="8"/>
  <c r="AR37" i="8" s="1"/>
  <c r="AO38" i="8" s="1"/>
  <c r="AG38" i="8"/>
  <c r="AG40" i="8" s="1"/>
  <c r="AF38" i="8"/>
  <c r="AE38" i="8"/>
  <c r="I44" i="7"/>
  <c r="D45" i="7"/>
  <c r="S45" i="7" l="1"/>
  <c r="U45" i="7" s="1"/>
  <c r="U46" i="7" s="1"/>
  <c r="AF45" i="7"/>
  <c r="AD45" i="7"/>
  <c r="AD46" i="7" s="1"/>
  <c r="AD47" i="7" s="1"/>
  <c r="P48" i="5"/>
  <c r="U47" i="5"/>
  <c r="AB47" i="4"/>
  <c r="AC47" i="4" s="1"/>
  <c r="X48" i="4"/>
  <c r="Z47" i="4"/>
  <c r="P20" i="10"/>
  <c r="Q21" i="10"/>
  <c r="I19" i="10"/>
  <c r="D20" i="10"/>
  <c r="F38" i="9"/>
  <c r="H38" i="9"/>
  <c r="I19" i="9"/>
  <c r="D20" i="9"/>
  <c r="AS38" i="8"/>
  <c r="AS40" i="8" s="1"/>
  <c r="AR38" i="8"/>
  <c r="AR40" i="8" s="1"/>
  <c r="AQ38" i="8"/>
  <c r="AD38" i="8"/>
  <c r="AD40" i="8" s="1"/>
  <c r="AE40" i="8"/>
  <c r="AH38" i="8"/>
  <c r="AH40" i="8" s="1"/>
  <c r="AF40" i="8"/>
  <c r="AT37" i="8"/>
  <c r="G19" i="8"/>
  <c r="H45" i="7"/>
  <c r="F45" i="7"/>
  <c r="S46" i="7" l="1"/>
  <c r="U47" i="7"/>
  <c r="AE45" i="7"/>
  <c r="AG45" i="7" s="1"/>
  <c r="Q47" i="7"/>
  <c r="T48" i="5"/>
  <c r="R48" i="5"/>
  <c r="S48" i="5" s="1"/>
  <c r="P49" i="5" s="1"/>
  <c r="R49" i="5" s="1"/>
  <c r="AB48" i="4"/>
  <c r="AC48" i="4" s="1"/>
  <c r="X49" i="4"/>
  <c r="Z48" i="4"/>
  <c r="R20" i="10"/>
  <c r="P21" i="10"/>
  <c r="H20" i="10"/>
  <c r="H21" i="10" s="1"/>
  <c r="F20" i="10"/>
  <c r="T21" i="8"/>
  <c r="F20" i="9"/>
  <c r="H20" i="9"/>
  <c r="H21" i="9" s="1"/>
  <c r="G38" i="9"/>
  <c r="AP38" i="8"/>
  <c r="AP40" i="8" s="1"/>
  <c r="AQ40" i="8"/>
  <c r="AH41" i="8"/>
  <c r="AT38" i="8"/>
  <c r="AT40" i="8" s="1"/>
  <c r="AT41" i="8" s="1"/>
  <c r="I19" i="8"/>
  <c r="D20" i="8"/>
  <c r="AD41" i="8"/>
  <c r="AE41" i="8"/>
  <c r="G45" i="7"/>
  <c r="T49" i="5" l="1"/>
  <c r="U48" i="5"/>
  <c r="X50" i="4"/>
  <c r="AB49" i="4"/>
  <c r="AC49" i="4" s="1"/>
  <c r="Z49" i="4"/>
  <c r="T20" i="10"/>
  <c r="R21" i="10"/>
  <c r="T21" i="10" s="1"/>
  <c r="T22" i="10" s="1"/>
  <c r="P22" i="10"/>
  <c r="H37" i="10"/>
  <c r="E20" i="10"/>
  <c r="F21" i="10"/>
  <c r="R21" i="8"/>
  <c r="I38" i="9"/>
  <c r="D39" i="9"/>
  <c r="E20" i="9"/>
  <c r="F21" i="9"/>
  <c r="H20" i="8"/>
  <c r="H21" i="8" s="1"/>
  <c r="F20" i="8"/>
  <c r="AP41" i="8"/>
  <c r="AQ41" i="8"/>
  <c r="AF46" i="7"/>
  <c r="AE46" i="7"/>
  <c r="I45" i="7"/>
  <c r="T49" i="6" l="1"/>
  <c r="R49" i="6"/>
  <c r="S49" i="6" s="1"/>
  <c r="S49" i="5"/>
  <c r="U49" i="5" s="1"/>
  <c r="X51" i="4"/>
  <c r="Z50" i="4"/>
  <c r="AB50" i="4"/>
  <c r="AC50" i="4" s="1"/>
  <c r="G20" i="10"/>
  <c r="E21" i="10"/>
  <c r="F37" i="10"/>
  <c r="Q21" i="8"/>
  <c r="F39" i="9"/>
  <c r="H39" i="9"/>
  <c r="H41" i="9" s="1"/>
  <c r="G20" i="9"/>
  <c r="E21" i="9"/>
  <c r="E20" i="8"/>
  <c r="F21" i="8"/>
  <c r="AG46" i="7"/>
  <c r="AG47" i="7" s="1"/>
  <c r="U49" i="6" l="1"/>
  <c r="P50" i="5"/>
  <c r="R50" i="5" s="1"/>
  <c r="Z51" i="4"/>
  <c r="AB51" i="4"/>
  <c r="AC51" i="4" s="1"/>
  <c r="X52" i="4"/>
  <c r="I20" i="10"/>
  <c r="G21" i="10"/>
  <c r="I21" i="10" s="1"/>
  <c r="I22" i="10" s="1"/>
  <c r="S21" i="8"/>
  <c r="U21" i="8" s="1"/>
  <c r="U22" i="8" s="1"/>
  <c r="G39" i="9"/>
  <c r="F41" i="9"/>
  <c r="I20" i="9"/>
  <c r="G21" i="9"/>
  <c r="I21" i="9" s="1"/>
  <c r="I22" i="9" s="1"/>
  <c r="G20" i="8"/>
  <c r="E21" i="8"/>
  <c r="AC47" i="7"/>
  <c r="T50" i="6" l="1"/>
  <c r="R50" i="6"/>
  <c r="S50" i="6" s="1"/>
  <c r="AF49" i="6"/>
  <c r="AD49" i="6"/>
  <c r="T50" i="5"/>
  <c r="S50" i="5"/>
  <c r="P51" i="5" s="1"/>
  <c r="R51" i="5" s="1"/>
  <c r="X53" i="4"/>
  <c r="Z52" i="4"/>
  <c r="AB52" i="4"/>
  <c r="AC52" i="4" s="1"/>
  <c r="E22" i="10"/>
  <c r="I37" i="10"/>
  <c r="G37" i="10"/>
  <c r="Q22" i="8"/>
  <c r="I39" i="9"/>
  <c r="I41" i="9" s="1"/>
  <c r="G41" i="9"/>
  <c r="E42" i="9" s="1"/>
  <c r="D40" i="9"/>
  <c r="E22" i="9"/>
  <c r="I20" i="8"/>
  <c r="G21" i="8"/>
  <c r="I21" i="8" s="1"/>
  <c r="I22" i="8" s="1"/>
  <c r="U50" i="6" l="1"/>
  <c r="AE49" i="6"/>
  <c r="U50" i="5"/>
  <c r="T51" i="5"/>
  <c r="S51" i="5"/>
  <c r="P52" i="5" s="1"/>
  <c r="X54" i="4"/>
  <c r="AB53" i="4"/>
  <c r="AC53" i="4" s="1"/>
  <c r="Z53" i="4"/>
  <c r="G40" i="9"/>
  <c r="F40" i="9"/>
  <c r="E40" i="9" s="1"/>
  <c r="H40" i="9"/>
  <c r="I42" i="9"/>
  <c r="E22" i="8"/>
  <c r="H46" i="7"/>
  <c r="Q42" i="4"/>
  <c r="N42" i="4"/>
  <c r="O43" i="3"/>
  <c r="N42" i="3"/>
  <c r="N43" i="3" s="1"/>
  <c r="D42" i="3"/>
  <c r="F69" i="2"/>
  <c r="E69" i="2"/>
  <c r="D69" i="2"/>
  <c r="A67" i="2"/>
  <c r="A68" i="2"/>
  <c r="A64" i="2"/>
  <c r="A63" i="2"/>
  <c r="C50" i="2"/>
  <c r="F49" i="2"/>
  <c r="E49" i="2"/>
  <c r="B44" i="3"/>
  <c r="B11" i="2"/>
  <c r="D35" i="2"/>
  <c r="D40" i="2"/>
  <c r="D22" i="2"/>
  <c r="T51" i="6" l="1"/>
  <c r="R51" i="6"/>
  <c r="S51" i="6" s="1"/>
  <c r="AG49" i="6"/>
  <c r="U51" i="5"/>
  <c r="T52" i="5"/>
  <c r="R52" i="5"/>
  <c r="S52" i="5" s="1"/>
  <c r="X55" i="4"/>
  <c r="Z54" i="4"/>
  <c r="AB54" i="4"/>
  <c r="AC54" i="4" s="1"/>
  <c r="P42" i="4"/>
  <c r="R42" i="4"/>
  <c r="S42" i="4" s="1"/>
  <c r="U43" i="5"/>
  <c r="D41" i="4"/>
  <c r="K45" i="3"/>
  <c r="I40" i="9"/>
  <c r="I46" i="7"/>
  <c r="G46" i="7"/>
  <c r="F46" i="7"/>
  <c r="P43" i="4"/>
  <c r="Q43" i="4" s="1"/>
  <c r="N44" i="4" s="1"/>
  <c r="B45" i="3"/>
  <c r="B46" i="3" s="1"/>
  <c r="A44" i="3"/>
  <c r="O56" i="3"/>
  <c r="G17" i="2"/>
  <c r="L16" i="2"/>
  <c r="N16" i="2" s="1"/>
  <c r="M16" i="2"/>
  <c r="L17" i="2"/>
  <c r="N17" i="2" s="1"/>
  <c r="M17" i="2"/>
  <c r="L18" i="2"/>
  <c r="L19" i="2"/>
  <c r="L20" i="2"/>
  <c r="L21" i="2"/>
  <c r="L22" i="2"/>
  <c r="G49" i="2"/>
  <c r="E48" i="2"/>
  <c r="O44" i="4" l="1"/>
  <c r="Q44" i="4" s="1"/>
  <c r="S44" i="4" s="1"/>
  <c r="U51" i="6"/>
  <c r="AF50" i="6"/>
  <c r="AD50" i="6"/>
  <c r="U52" i="5"/>
  <c r="P53" i="5"/>
  <c r="R53" i="5" s="1"/>
  <c r="S53" i="5" s="1"/>
  <c r="O42" i="4"/>
  <c r="Z55" i="4"/>
  <c r="AB55" i="4"/>
  <c r="AC55" i="4" s="1"/>
  <c r="B47" i="3"/>
  <c r="B48" i="3" s="1"/>
  <c r="B49" i="3" s="1"/>
  <c r="B50" i="3" s="1"/>
  <c r="B51" i="3" s="1"/>
  <c r="B52" i="3" s="1"/>
  <c r="B53" i="3" s="1"/>
  <c r="B54" i="3" s="1"/>
  <c r="B55" i="3" s="1"/>
  <c r="B56" i="3" s="1"/>
  <c r="S45" i="3"/>
  <c r="E47" i="7"/>
  <c r="I47" i="7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F42" i="4"/>
  <c r="F43" i="5"/>
  <c r="G43" i="5" s="1"/>
  <c r="G35" i="2"/>
  <c r="M18" i="2"/>
  <c r="G44" i="5" l="1"/>
  <c r="D45" i="5"/>
  <c r="D48" i="5"/>
  <c r="D52" i="5"/>
  <c r="D47" i="5"/>
  <c r="D49" i="5"/>
  <c r="D53" i="5"/>
  <c r="D54" i="5"/>
  <c r="D46" i="5"/>
  <c r="D55" i="5"/>
  <c r="D50" i="5"/>
  <c r="D51" i="5"/>
  <c r="H44" i="5"/>
  <c r="T53" i="5"/>
  <c r="U53" i="5" s="1"/>
  <c r="T52" i="6"/>
  <c r="R52" i="6"/>
  <c r="S52" i="6" s="1"/>
  <c r="AE50" i="6"/>
  <c r="P54" i="5"/>
  <c r="R54" i="5" s="1"/>
  <c r="Y55" i="4"/>
  <c r="Z56" i="4"/>
  <c r="Z57" i="4" s="1"/>
  <c r="N45" i="4"/>
  <c r="AA56" i="4"/>
  <c r="G43" i="3"/>
  <c r="G44" i="3" s="1"/>
  <c r="G42" i="4"/>
  <c r="D43" i="4" s="1"/>
  <c r="M19" i="2"/>
  <c r="N18" i="2"/>
  <c r="D45" i="3" l="1"/>
  <c r="D46" i="3" s="1"/>
  <c r="I44" i="5"/>
  <c r="U52" i="6"/>
  <c r="AG50" i="6"/>
  <c r="T54" i="5"/>
  <c r="S54" i="5"/>
  <c r="N46" i="4"/>
  <c r="R45" i="4"/>
  <c r="S45" i="4" s="1"/>
  <c r="P45" i="4"/>
  <c r="I44" i="3"/>
  <c r="M20" i="2"/>
  <c r="N19" i="2"/>
  <c r="H45" i="3" l="1"/>
  <c r="I45" i="3" s="1"/>
  <c r="E43" i="4"/>
  <c r="G43" i="4" s="1"/>
  <c r="F45" i="3"/>
  <c r="F46" i="3"/>
  <c r="D47" i="3"/>
  <c r="H46" i="3"/>
  <c r="I46" i="3" s="1"/>
  <c r="T53" i="6"/>
  <c r="R53" i="6"/>
  <c r="S53" i="6" s="1"/>
  <c r="AF51" i="6"/>
  <c r="AD51" i="6"/>
  <c r="P55" i="5"/>
  <c r="R55" i="5" s="1"/>
  <c r="U54" i="5"/>
  <c r="N47" i="4"/>
  <c r="P46" i="4"/>
  <c r="R46" i="4"/>
  <c r="S46" i="4" s="1"/>
  <c r="Q57" i="3"/>
  <c r="M21" i="2"/>
  <c r="N20" i="2"/>
  <c r="H47" i="3" l="1"/>
  <c r="I47" i="3" s="1"/>
  <c r="D48" i="3"/>
  <c r="F47" i="3"/>
  <c r="U53" i="6"/>
  <c r="AE51" i="6"/>
  <c r="T55" i="5"/>
  <c r="S55" i="5"/>
  <c r="P47" i="4"/>
  <c r="N48" i="4"/>
  <c r="R47" i="4"/>
  <c r="S47" i="4" s="1"/>
  <c r="AB56" i="4"/>
  <c r="AC56" i="4"/>
  <c r="AC57" i="4" s="1"/>
  <c r="Y56" i="4"/>
  <c r="M22" i="2"/>
  <c r="N22" i="2" s="1"/>
  <c r="N21" i="2"/>
  <c r="D49" i="3" l="1"/>
  <c r="H48" i="3"/>
  <c r="F48" i="3"/>
  <c r="T54" i="6"/>
  <c r="R54" i="6"/>
  <c r="S54" i="6" s="1"/>
  <c r="AG51" i="6"/>
  <c r="U55" i="5"/>
  <c r="P56" i="5"/>
  <c r="N49" i="4"/>
  <c r="R48" i="4"/>
  <c r="S48" i="4" s="1"/>
  <c r="P48" i="4"/>
  <c r="O57" i="3"/>
  <c r="E28" i="2"/>
  <c r="G28" i="2"/>
  <c r="E35" i="2"/>
  <c r="E17" i="2"/>
  <c r="A65" i="2"/>
  <c r="A66" i="2" s="1"/>
  <c r="H62" i="2"/>
  <c r="A49" i="2"/>
  <c r="A50" i="2" s="1"/>
  <c r="A51" i="2" s="1"/>
  <c r="A52" i="2" s="1"/>
  <c r="A53" i="2" s="1"/>
  <c r="A54" i="2" s="1"/>
  <c r="H48" i="2"/>
  <c r="E34" i="2"/>
  <c r="A35" i="2"/>
  <c r="A36" i="2" s="1"/>
  <c r="A37" i="2" s="1"/>
  <c r="A38" i="2" s="1"/>
  <c r="A39" i="2" s="1"/>
  <c r="A40" i="2" s="1"/>
  <c r="A17" i="2"/>
  <c r="A18" i="2" s="1"/>
  <c r="A19" i="2" s="1"/>
  <c r="A20" i="2" s="1"/>
  <c r="A21" i="2" s="1"/>
  <c r="A22" i="2" s="1"/>
  <c r="D50" i="3" l="1"/>
  <c r="H49" i="3"/>
  <c r="F49" i="3"/>
  <c r="U54" i="6"/>
  <c r="AF52" i="6"/>
  <c r="AD52" i="6"/>
  <c r="S56" i="5"/>
  <c r="R56" i="5"/>
  <c r="T56" i="5"/>
  <c r="P49" i="4"/>
  <c r="N50" i="4"/>
  <c r="R49" i="4"/>
  <c r="S49" i="4" s="1"/>
  <c r="Y57" i="4"/>
  <c r="C17" i="2"/>
  <c r="B10" i="2"/>
  <c r="D6" i="2"/>
  <c r="AD24" i="1"/>
  <c r="AD23" i="1"/>
  <c r="AD22" i="1"/>
  <c r="AD21" i="1"/>
  <c r="AD20" i="1"/>
  <c r="AD19" i="1"/>
  <c r="AD18" i="1"/>
  <c r="AE17" i="1"/>
  <c r="AD17" i="1"/>
  <c r="AA18" i="1"/>
  <c r="Y10" i="1"/>
  <c r="Z10" i="1" s="1"/>
  <c r="Z11" i="1" s="1"/>
  <c r="K45" i="1"/>
  <c r="L45" i="1"/>
  <c r="K46" i="1"/>
  <c r="L46" i="1"/>
  <c r="K47" i="1"/>
  <c r="L47" i="1"/>
  <c r="K48" i="1"/>
  <c r="L48" i="1"/>
  <c r="K49" i="1"/>
  <c r="L49" i="1"/>
  <c r="K51" i="1"/>
  <c r="L51" i="1"/>
  <c r="K52" i="1"/>
  <c r="L52" i="1"/>
  <c r="K53" i="1"/>
  <c r="L53" i="1"/>
  <c r="K54" i="1"/>
  <c r="L54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C28" i="1"/>
  <c r="H28" i="1" s="1"/>
  <c r="H17" i="1"/>
  <c r="S17" i="1"/>
  <c r="N10" i="1"/>
  <c r="N11" i="1" s="1"/>
  <c r="S23" i="1"/>
  <c r="S22" i="1"/>
  <c r="S21" i="1"/>
  <c r="S20" i="1"/>
  <c r="S19" i="1"/>
  <c r="S18" i="1"/>
  <c r="T17" i="1"/>
  <c r="L30" i="1"/>
  <c r="L31" i="1"/>
  <c r="L32" i="1"/>
  <c r="L34" i="1"/>
  <c r="L35" i="1"/>
  <c r="L36" i="1"/>
  <c r="L37" i="1"/>
  <c r="L38" i="1"/>
  <c r="L39" i="1"/>
  <c r="L40" i="1"/>
  <c r="L42" i="1"/>
  <c r="L43" i="1"/>
  <c r="L44" i="1"/>
  <c r="L29" i="1"/>
  <c r="K30" i="1"/>
  <c r="K31" i="1"/>
  <c r="K32" i="1"/>
  <c r="K34" i="1"/>
  <c r="K35" i="1"/>
  <c r="K36" i="1"/>
  <c r="K37" i="1"/>
  <c r="K38" i="1"/>
  <c r="K39" i="1"/>
  <c r="K40" i="1"/>
  <c r="K42" i="1"/>
  <c r="K43" i="1"/>
  <c r="K44" i="1"/>
  <c r="K29" i="1"/>
  <c r="E28" i="1"/>
  <c r="E29" i="1" s="1"/>
  <c r="A29" i="1"/>
  <c r="I17" i="1"/>
  <c r="AE18" i="1" s="1"/>
  <c r="H19" i="1"/>
  <c r="H20" i="1"/>
  <c r="H21" i="1"/>
  <c r="H22" i="1"/>
  <c r="H23" i="1"/>
  <c r="H18" i="1"/>
  <c r="C17" i="1"/>
  <c r="E18" i="1" s="1"/>
  <c r="B10" i="1"/>
  <c r="C10" i="1" s="1"/>
  <c r="C11" i="1" s="1"/>
  <c r="D6" i="1"/>
  <c r="D51" i="3" l="1"/>
  <c r="H50" i="3"/>
  <c r="F50" i="3"/>
  <c r="T55" i="6"/>
  <c r="R55" i="6"/>
  <c r="S55" i="6" s="1"/>
  <c r="AE52" i="6"/>
  <c r="Q56" i="5"/>
  <c r="R57" i="5"/>
  <c r="R58" i="5" s="1"/>
  <c r="U56" i="5"/>
  <c r="P50" i="4"/>
  <c r="N51" i="4"/>
  <c r="R50" i="4"/>
  <c r="S50" i="4" s="1"/>
  <c r="B12" i="2"/>
  <c r="D52" i="2" s="1"/>
  <c r="AF17" i="1"/>
  <c r="C47" i="2"/>
  <c r="C33" i="2"/>
  <c r="C61" i="2"/>
  <c r="D51" i="2"/>
  <c r="D18" i="2"/>
  <c r="C28" i="2"/>
  <c r="D38" i="2"/>
  <c r="D37" i="2"/>
  <c r="D21" i="2"/>
  <c r="C10" i="2"/>
  <c r="C11" i="2" s="1"/>
  <c r="C12" i="2" s="1"/>
  <c r="I18" i="1"/>
  <c r="AE19" i="1" s="1"/>
  <c r="AF19" i="1" s="1"/>
  <c r="Y11" i="1"/>
  <c r="C29" i="1"/>
  <c r="AF18" i="1"/>
  <c r="O10" i="1"/>
  <c r="O11" i="1" s="1"/>
  <c r="T18" i="1"/>
  <c r="U18" i="1" s="1"/>
  <c r="J17" i="1"/>
  <c r="E30" i="1"/>
  <c r="E31" i="1" s="1"/>
  <c r="E32" i="1" s="1"/>
  <c r="E33" i="1" s="1"/>
  <c r="U17" i="1"/>
  <c r="A30" i="1"/>
  <c r="C30" i="1" s="1"/>
  <c r="F28" i="1"/>
  <c r="G28" i="1" s="1"/>
  <c r="M28" i="1"/>
  <c r="D28" i="1"/>
  <c r="B11" i="1"/>
  <c r="B12" i="1" s="1"/>
  <c r="C12" i="1"/>
  <c r="D52" i="3" l="1"/>
  <c r="H51" i="3"/>
  <c r="F51" i="3"/>
  <c r="U55" i="6"/>
  <c r="AG52" i="6"/>
  <c r="N52" i="4"/>
  <c r="R51" i="4"/>
  <c r="S51" i="4" s="1"/>
  <c r="P51" i="4"/>
  <c r="I48" i="3"/>
  <c r="D53" i="2"/>
  <c r="D36" i="2"/>
  <c r="D19" i="2"/>
  <c r="D20" i="2"/>
  <c r="D39" i="2"/>
  <c r="D50" i="2"/>
  <c r="D17" i="2"/>
  <c r="F17" i="2" s="1"/>
  <c r="C35" i="2"/>
  <c r="I28" i="2"/>
  <c r="J18" i="1"/>
  <c r="I19" i="1"/>
  <c r="AE20" i="1" s="1"/>
  <c r="AF20" i="1" s="1"/>
  <c r="D29" i="1"/>
  <c r="T19" i="1"/>
  <c r="U19" i="1" s="1"/>
  <c r="F29" i="1"/>
  <c r="G29" i="1" s="1"/>
  <c r="A31" i="1"/>
  <c r="D21" i="1"/>
  <c r="D20" i="1"/>
  <c r="D18" i="1"/>
  <c r="D23" i="1"/>
  <c r="D19" i="1"/>
  <c r="D22" i="1"/>
  <c r="D53" i="3" l="1"/>
  <c r="H52" i="3"/>
  <c r="F52" i="3"/>
  <c r="R56" i="6"/>
  <c r="S56" i="6" s="1"/>
  <c r="T56" i="6"/>
  <c r="AF53" i="6"/>
  <c r="AD53" i="6"/>
  <c r="N53" i="4"/>
  <c r="R52" i="4"/>
  <c r="S52" i="4" s="1"/>
  <c r="P52" i="4"/>
  <c r="I49" i="3"/>
  <c r="D28" i="2"/>
  <c r="F28" i="2"/>
  <c r="H28" i="2" s="1"/>
  <c r="C18" i="2"/>
  <c r="H17" i="2"/>
  <c r="F35" i="2"/>
  <c r="C31" i="1"/>
  <c r="F31" i="1" s="1"/>
  <c r="F48" i="2"/>
  <c r="E62" i="2"/>
  <c r="I29" i="1"/>
  <c r="T20" i="1"/>
  <c r="U20" i="1" s="1"/>
  <c r="I20" i="1"/>
  <c r="AE21" i="1" s="1"/>
  <c r="AF21" i="1" s="1"/>
  <c r="J19" i="1"/>
  <c r="F30" i="1"/>
  <c r="G30" i="1" s="1"/>
  <c r="I30" i="1" s="1"/>
  <c r="A32" i="1"/>
  <c r="C32" i="1" s="1"/>
  <c r="D24" i="1"/>
  <c r="F18" i="1"/>
  <c r="H29" i="1" s="1"/>
  <c r="M29" i="1" s="1"/>
  <c r="P57" i="6" l="1"/>
  <c r="S57" i="6" s="1"/>
  <c r="U56" i="6"/>
  <c r="D54" i="3"/>
  <c r="H53" i="3"/>
  <c r="F53" i="3"/>
  <c r="T57" i="6"/>
  <c r="AE53" i="6"/>
  <c r="N54" i="4"/>
  <c r="P53" i="4"/>
  <c r="R53" i="4"/>
  <c r="S53" i="4" s="1"/>
  <c r="E57" i="3"/>
  <c r="C36" i="2"/>
  <c r="H35" i="2"/>
  <c r="E18" i="2"/>
  <c r="E36" i="2"/>
  <c r="G18" i="2"/>
  <c r="G36" i="2" s="1"/>
  <c r="H49" i="2"/>
  <c r="D49" i="2"/>
  <c r="F62" i="2"/>
  <c r="C63" i="2" s="1"/>
  <c r="C49" i="2"/>
  <c r="D30" i="1"/>
  <c r="T21" i="1"/>
  <c r="U21" i="1" s="1"/>
  <c r="J20" i="1"/>
  <c r="I21" i="1"/>
  <c r="AE22" i="1" s="1"/>
  <c r="AF22" i="1" s="1"/>
  <c r="D31" i="1"/>
  <c r="G31" i="1"/>
  <c r="I31" i="1" s="1"/>
  <c r="H31" i="1"/>
  <c r="M31" i="1" s="1"/>
  <c r="A33" i="1"/>
  <c r="H30" i="1"/>
  <c r="M30" i="1" s="1"/>
  <c r="C18" i="1"/>
  <c r="E19" i="1" s="1"/>
  <c r="U57" i="6" l="1"/>
  <c r="D55" i="3"/>
  <c r="H54" i="3"/>
  <c r="F54" i="3"/>
  <c r="AG53" i="6"/>
  <c r="N55" i="4"/>
  <c r="P55" i="4" s="1"/>
  <c r="R54" i="4"/>
  <c r="S54" i="4" s="1"/>
  <c r="P54" i="4"/>
  <c r="I51" i="3"/>
  <c r="I50" i="3"/>
  <c r="G57" i="3"/>
  <c r="L63" i="2"/>
  <c r="D63" i="2" s="1"/>
  <c r="G63" i="2"/>
  <c r="E63" i="2"/>
  <c r="F18" i="2"/>
  <c r="C33" i="1"/>
  <c r="D32" i="1" s="1"/>
  <c r="T22" i="1"/>
  <c r="U22" i="1" s="1"/>
  <c r="I22" i="1"/>
  <c r="AE23" i="1" s="1"/>
  <c r="AF23" i="1" s="1"/>
  <c r="J21" i="1"/>
  <c r="H32" i="1"/>
  <c r="M32" i="1" s="1"/>
  <c r="F32" i="1"/>
  <c r="G32" i="1" s="1"/>
  <c r="A34" i="1"/>
  <c r="C34" i="1" s="1"/>
  <c r="F19" i="1"/>
  <c r="D56" i="3" l="1"/>
  <c r="H55" i="3"/>
  <c r="F55" i="3"/>
  <c r="AF54" i="6"/>
  <c r="AD54" i="6"/>
  <c r="AE54" i="6" s="1"/>
  <c r="O55" i="4"/>
  <c r="P56" i="4"/>
  <c r="P57" i="4" s="1"/>
  <c r="I52" i="3"/>
  <c r="D67" i="2"/>
  <c r="D65" i="2"/>
  <c r="D66" i="2"/>
  <c r="F63" i="2"/>
  <c r="E50" i="2"/>
  <c r="G50" i="2"/>
  <c r="C19" i="2"/>
  <c r="D64" i="2"/>
  <c r="H18" i="2"/>
  <c r="F50" i="2"/>
  <c r="F36" i="2"/>
  <c r="C37" i="2" s="1"/>
  <c r="T23" i="1"/>
  <c r="U23" i="1" s="1"/>
  <c r="I23" i="1"/>
  <c r="J22" i="1"/>
  <c r="D33" i="1"/>
  <c r="I32" i="1"/>
  <c r="A35" i="1"/>
  <c r="H33" i="1"/>
  <c r="F33" i="1"/>
  <c r="G33" i="1" s="1"/>
  <c r="C19" i="1"/>
  <c r="E20" i="1" s="1"/>
  <c r="F20" i="1" s="1"/>
  <c r="F56" i="3" l="1"/>
  <c r="F57" i="3" s="1"/>
  <c r="F58" i="3" s="1"/>
  <c r="H56" i="3"/>
  <c r="AG54" i="6"/>
  <c r="AF30" i="7"/>
  <c r="I53" i="3"/>
  <c r="H63" i="2"/>
  <c r="C64" i="2"/>
  <c r="E19" i="2"/>
  <c r="E37" i="2"/>
  <c r="G19" i="2"/>
  <c r="G37" i="2" s="1"/>
  <c r="H50" i="2"/>
  <c r="C51" i="2"/>
  <c r="G51" i="2" s="1"/>
  <c r="C35" i="1"/>
  <c r="D34" i="1" s="1"/>
  <c r="E51" i="2"/>
  <c r="J23" i="1"/>
  <c r="AE24" i="1"/>
  <c r="AF24" i="1" s="1"/>
  <c r="I33" i="1"/>
  <c r="K33" i="1" s="1"/>
  <c r="F34" i="1"/>
  <c r="G34" i="1" s="1"/>
  <c r="H34" i="1"/>
  <c r="M34" i="1" s="1"/>
  <c r="A36" i="1"/>
  <c r="C36" i="1" s="1"/>
  <c r="C20" i="1"/>
  <c r="E21" i="1" s="1"/>
  <c r="AF55" i="6" l="1"/>
  <c r="AD55" i="6"/>
  <c r="AE55" i="6" s="1"/>
  <c r="AD30" i="7"/>
  <c r="I54" i="3"/>
  <c r="G64" i="2"/>
  <c r="E64" i="2"/>
  <c r="F64" i="2" s="1"/>
  <c r="H64" i="2" s="1"/>
  <c r="F19" i="2"/>
  <c r="L33" i="1"/>
  <c r="D35" i="1"/>
  <c r="I34" i="1"/>
  <c r="A37" i="1"/>
  <c r="C37" i="1" s="1"/>
  <c r="F35" i="1"/>
  <c r="H35" i="1"/>
  <c r="M35" i="1" s="1"/>
  <c r="AD56" i="6" l="1"/>
  <c r="AG55" i="6"/>
  <c r="T30" i="7"/>
  <c r="AE30" i="7"/>
  <c r="F47" i="7"/>
  <c r="I56" i="3"/>
  <c r="I55" i="3"/>
  <c r="C65" i="2"/>
  <c r="G65" i="2" s="1"/>
  <c r="H19" i="2"/>
  <c r="F37" i="2"/>
  <c r="C38" i="2" s="1"/>
  <c r="F51" i="2"/>
  <c r="C20" i="2"/>
  <c r="M33" i="1"/>
  <c r="E34" i="1"/>
  <c r="E35" i="1" s="1"/>
  <c r="E36" i="1" s="1"/>
  <c r="E37" i="1" s="1"/>
  <c r="E38" i="1" s="1"/>
  <c r="E39" i="1" s="1"/>
  <c r="E40" i="1" s="1"/>
  <c r="E41" i="1" s="1"/>
  <c r="D36" i="1"/>
  <c r="A38" i="1"/>
  <c r="C38" i="1" s="1"/>
  <c r="H36" i="1"/>
  <c r="M36" i="1" s="1"/>
  <c r="F36" i="1"/>
  <c r="F21" i="1"/>
  <c r="AE56" i="6" l="1"/>
  <c r="AB57" i="6" s="1"/>
  <c r="AF56" i="6"/>
  <c r="AG30" i="7"/>
  <c r="AG31" i="7" s="1"/>
  <c r="AC31" i="7"/>
  <c r="I31" i="7"/>
  <c r="E31" i="7"/>
  <c r="R30" i="7"/>
  <c r="R47" i="7" s="1"/>
  <c r="I57" i="3"/>
  <c r="E65" i="2"/>
  <c r="F65" i="2" s="1"/>
  <c r="H65" i="2" s="1"/>
  <c r="C52" i="2"/>
  <c r="G52" i="2" s="1"/>
  <c r="H51" i="2"/>
  <c r="E20" i="2"/>
  <c r="E38" i="2"/>
  <c r="G20" i="2"/>
  <c r="E52" i="2"/>
  <c r="G36" i="1"/>
  <c r="G35" i="1"/>
  <c r="I35" i="1" s="1"/>
  <c r="D37" i="1"/>
  <c r="H37" i="1"/>
  <c r="M37" i="1" s="1"/>
  <c r="F37" i="1"/>
  <c r="G37" i="1" s="1"/>
  <c r="A39" i="1"/>
  <c r="C39" i="1" s="1"/>
  <c r="C21" i="1"/>
  <c r="E22" i="1" s="1"/>
  <c r="AD57" i="6" l="1"/>
  <c r="AF57" i="6"/>
  <c r="AE57" i="6"/>
  <c r="AC57" i="6"/>
  <c r="AF58" i="6"/>
  <c r="AG56" i="6"/>
  <c r="S30" i="7"/>
  <c r="E58" i="3"/>
  <c r="H57" i="3"/>
  <c r="C66" i="2"/>
  <c r="G38" i="2"/>
  <c r="F20" i="2"/>
  <c r="I36" i="1"/>
  <c r="D38" i="1"/>
  <c r="I37" i="1"/>
  <c r="F38" i="1"/>
  <c r="G38" i="1" s="1"/>
  <c r="I38" i="1" s="1"/>
  <c r="H38" i="1"/>
  <c r="M38" i="1" s="1"/>
  <c r="A40" i="1"/>
  <c r="C40" i="1" s="1"/>
  <c r="AD58" i="6" l="1"/>
  <c r="AC58" i="6"/>
  <c r="AG57" i="6"/>
  <c r="AG58" i="6" s="1"/>
  <c r="AE58" i="6"/>
  <c r="AD59" i="6"/>
  <c r="U30" i="7"/>
  <c r="U31" i="7" s="1"/>
  <c r="Q31" i="7"/>
  <c r="I58" i="3"/>
  <c r="E66" i="2"/>
  <c r="F66" i="2" s="1"/>
  <c r="G66" i="2"/>
  <c r="H20" i="2"/>
  <c r="F38" i="2"/>
  <c r="C39" i="2" s="1"/>
  <c r="F52" i="2"/>
  <c r="C21" i="2"/>
  <c r="E39" i="2" s="1"/>
  <c r="D39" i="1"/>
  <c r="A41" i="1"/>
  <c r="C41" i="1" s="1"/>
  <c r="C42" i="1" s="1"/>
  <c r="F39" i="1"/>
  <c r="G39" i="1" s="1"/>
  <c r="H39" i="1"/>
  <c r="M39" i="1" s="1"/>
  <c r="F22" i="1"/>
  <c r="AC59" i="6" l="1"/>
  <c r="AG59" i="6"/>
  <c r="H66" i="2"/>
  <c r="C67" i="2"/>
  <c r="E67" i="2" s="1"/>
  <c r="F67" i="2" s="1"/>
  <c r="C53" i="2"/>
  <c r="G53" i="2" s="1"/>
  <c r="H52" i="2"/>
  <c r="E21" i="2"/>
  <c r="F21" i="2" s="1"/>
  <c r="G21" i="2"/>
  <c r="G39" i="2" s="1"/>
  <c r="E53" i="2"/>
  <c r="D40" i="1"/>
  <c r="I39" i="1"/>
  <c r="H40" i="1"/>
  <c r="M40" i="1" s="1"/>
  <c r="F40" i="1"/>
  <c r="G40" i="1" s="1"/>
  <c r="I40" i="1" s="1"/>
  <c r="A42" i="1"/>
  <c r="C22" i="1"/>
  <c r="E23" i="1" s="1"/>
  <c r="G67" i="2" l="1"/>
  <c r="H67" i="2" s="1"/>
  <c r="C22" i="2"/>
  <c r="C68" i="2"/>
  <c r="H21" i="2"/>
  <c r="F53" i="2"/>
  <c r="F39" i="2"/>
  <c r="C40" i="2" s="1"/>
  <c r="D41" i="1"/>
  <c r="F42" i="1"/>
  <c r="H41" i="1"/>
  <c r="F41" i="1"/>
  <c r="G41" i="1" s="1"/>
  <c r="I41" i="1" s="1"/>
  <c r="A43" i="1"/>
  <c r="G68" i="2" l="1"/>
  <c r="G69" i="2" s="1"/>
  <c r="F68" i="2"/>
  <c r="E68" i="2"/>
  <c r="H68" i="2"/>
  <c r="C54" i="2"/>
  <c r="H53" i="2"/>
  <c r="E22" i="2"/>
  <c r="E40" i="2"/>
  <c r="D41" i="2" s="1"/>
  <c r="G22" i="2"/>
  <c r="C43" i="1"/>
  <c r="F43" i="1" s="1"/>
  <c r="A44" i="1"/>
  <c r="C44" i="1" s="1"/>
  <c r="F23" i="1"/>
  <c r="E24" i="1"/>
  <c r="D68" i="2" l="1"/>
  <c r="F22" i="2"/>
  <c r="F54" i="2" s="1"/>
  <c r="D23" i="2"/>
  <c r="E54" i="2"/>
  <c r="G54" i="2"/>
  <c r="G55" i="2" s="1"/>
  <c r="D42" i="1"/>
  <c r="G23" i="2"/>
  <c r="G40" i="2"/>
  <c r="H69" i="2"/>
  <c r="F40" i="2"/>
  <c r="E23" i="2"/>
  <c r="F44" i="1"/>
  <c r="A45" i="1"/>
  <c r="C45" i="1" s="1"/>
  <c r="F24" i="1"/>
  <c r="C23" i="1"/>
  <c r="D70" i="2" l="1"/>
  <c r="E55" i="2"/>
  <c r="D54" i="2"/>
  <c r="D55" i="2" s="1"/>
  <c r="H54" i="2"/>
  <c r="H22" i="2"/>
  <c r="H70" i="2"/>
  <c r="F23" i="2"/>
  <c r="F45" i="1"/>
  <c r="A46" i="1"/>
  <c r="C46" i="1" s="1"/>
  <c r="D43" i="1"/>
  <c r="H55" i="2" l="1"/>
  <c r="F55" i="2"/>
  <c r="D56" i="2" s="1"/>
  <c r="D24" i="2"/>
  <c r="H23" i="2"/>
  <c r="H24" i="2" s="1"/>
  <c r="D44" i="1"/>
  <c r="F46" i="1"/>
  <c r="A47" i="1"/>
  <c r="C47" i="1" s="1"/>
  <c r="H56" i="2" l="1"/>
  <c r="D45" i="1"/>
  <c r="A48" i="1"/>
  <c r="C48" i="1" s="1"/>
  <c r="D46" i="1" l="1"/>
  <c r="F47" i="1"/>
  <c r="F48" i="1"/>
  <c r="A49" i="1"/>
  <c r="C49" i="1" s="1"/>
  <c r="H36" i="2" l="1"/>
  <c r="D47" i="1"/>
  <c r="F49" i="1"/>
  <c r="A50" i="1"/>
  <c r="C50" i="1" s="1"/>
  <c r="C51" i="1" s="1"/>
  <c r="C52" i="1" l="1"/>
  <c r="F51" i="1"/>
  <c r="D48" i="1"/>
  <c r="A51" i="1"/>
  <c r="C53" i="1" l="1"/>
  <c r="F52" i="1"/>
  <c r="D49" i="1"/>
  <c r="F50" i="1"/>
  <c r="A52" i="1"/>
  <c r="C54" i="1" l="1"/>
  <c r="F53" i="1"/>
  <c r="H37" i="2"/>
  <c r="D50" i="1"/>
  <c r="A53" i="1"/>
  <c r="C55" i="1" l="1"/>
  <c r="F55" i="1" s="1"/>
  <c r="F54" i="1"/>
  <c r="D51" i="1"/>
  <c r="A54" i="1"/>
  <c r="D52" i="1" l="1"/>
  <c r="A55" i="1"/>
  <c r="H38" i="2" l="1"/>
  <c r="D53" i="1"/>
  <c r="A56" i="1"/>
  <c r="C56" i="1" s="1"/>
  <c r="F56" i="1" s="1"/>
  <c r="D54" i="1" l="1"/>
  <c r="A57" i="1"/>
  <c r="C57" i="1" s="1"/>
  <c r="F57" i="1" s="1"/>
  <c r="E41" i="2" l="1"/>
  <c r="D55" i="1"/>
  <c r="A58" i="1"/>
  <c r="C58" i="1" s="1"/>
  <c r="F58" i="1" s="1"/>
  <c r="H39" i="2" l="1"/>
  <c r="D56" i="1"/>
  <c r="A59" i="1"/>
  <c r="C59" i="1" s="1"/>
  <c r="F59" i="1" s="1"/>
  <c r="G41" i="2" l="1"/>
  <c r="D57" i="1"/>
  <c r="A60" i="1"/>
  <c r="C60" i="1" s="1"/>
  <c r="F60" i="1" s="1"/>
  <c r="D58" i="1" l="1"/>
  <c r="A61" i="1"/>
  <c r="C61" i="1" s="1"/>
  <c r="F61" i="1" s="1"/>
  <c r="H40" i="2" l="1"/>
  <c r="H41" i="2" s="1"/>
  <c r="F41" i="2"/>
  <c r="D42" i="2" s="1"/>
  <c r="D59" i="1"/>
  <c r="A62" i="1"/>
  <c r="C62" i="1" s="1"/>
  <c r="F62" i="1" s="1"/>
  <c r="G42" i="1"/>
  <c r="H42" i="2" l="1"/>
  <c r="D60" i="1"/>
  <c r="A63" i="1"/>
  <c r="C63" i="1" s="1"/>
  <c r="F63" i="1" s="1"/>
  <c r="D61" i="1" l="1"/>
  <c r="A64" i="1"/>
  <c r="C64" i="1" s="1"/>
  <c r="F64" i="1" s="1"/>
  <c r="D62" i="1" l="1"/>
  <c r="A65" i="1"/>
  <c r="C65" i="1" s="1"/>
  <c r="F65" i="1" s="1"/>
  <c r="D63" i="1" l="1"/>
  <c r="A66" i="1"/>
  <c r="C66" i="1" s="1"/>
  <c r="F66" i="1" s="1"/>
  <c r="D64" i="1" l="1"/>
  <c r="A67" i="1"/>
  <c r="C67" i="1" s="1"/>
  <c r="F67" i="1" s="1"/>
  <c r="D65" i="1" l="1"/>
  <c r="A68" i="1"/>
  <c r="C68" i="1" s="1"/>
  <c r="F68" i="1" s="1"/>
  <c r="D66" i="1" l="1"/>
  <c r="A69" i="1"/>
  <c r="C69" i="1" s="1"/>
  <c r="F69" i="1" s="1"/>
  <c r="D67" i="1" l="1"/>
  <c r="A70" i="1"/>
  <c r="C70" i="1" s="1"/>
  <c r="F70" i="1" s="1"/>
  <c r="D68" i="1" l="1"/>
  <c r="A71" i="1"/>
  <c r="C71" i="1" s="1"/>
  <c r="F71" i="1" s="1"/>
  <c r="D69" i="1" l="1"/>
  <c r="A72" i="1"/>
  <c r="C72" i="1" s="1"/>
  <c r="F72" i="1" s="1"/>
  <c r="D70" i="1" l="1"/>
  <c r="A73" i="1"/>
  <c r="C73" i="1" s="1"/>
  <c r="F73" i="1" s="1"/>
  <c r="D71" i="1" l="1"/>
  <c r="A74" i="1"/>
  <c r="C74" i="1" s="1"/>
  <c r="F74" i="1" s="1"/>
  <c r="D72" i="1" l="1"/>
  <c r="A75" i="1"/>
  <c r="C75" i="1" s="1"/>
  <c r="F75" i="1" s="1"/>
  <c r="D73" i="1" l="1"/>
  <c r="A76" i="1"/>
  <c r="C76" i="1" s="1"/>
  <c r="F76" i="1" s="1"/>
  <c r="D74" i="1" l="1"/>
  <c r="A77" i="1"/>
  <c r="C77" i="1" s="1"/>
  <c r="F77" i="1" s="1"/>
  <c r="D75" i="1" l="1"/>
  <c r="A78" i="1"/>
  <c r="C78" i="1" s="1"/>
  <c r="F78" i="1" s="1"/>
  <c r="D76" i="1" l="1"/>
  <c r="A79" i="1"/>
  <c r="C79" i="1" s="1"/>
  <c r="F79" i="1" s="1"/>
  <c r="D77" i="1" l="1"/>
  <c r="A80" i="1"/>
  <c r="C80" i="1" s="1"/>
  <c r="F80" i="1" s="1"/>
  <c r="D78" i="1" l="1"/>
  <c r="A81" i="1"/>
  <c r="C81" i="1" s="1"/>
  <c r="F81" i="1" s="1"/>
  <c r="D79" i="1" l="1"/>
  <c r="A82" i="1"/>
  <c r="C82" i="1" s="1"/>
  <c r="F82" i="1" s="1"/>
  <c r="D80" i="1" l="1"/>
  <c r="A83" i="1"/>
  <c r="C83" i="1" s="1"/>
  <c r="F83" i="1" s="1"/>
  <c r="D81" i="1" l="1"/>
  <c r="A84" i="1"/>
  <c r="C84" i="1" s="1"/>
  <c r="F84" i="1" s="1"/>
  <c r="D82" i="1" l="1"/>
  <c r="A85" i="1"/>
  <c r="C85" i="1" s="1"/>
  <c r="F85" i="1" s="1"/>
  <c r="D83" i="1" l="1"/>
  <c r="A86" i="1"/>
  <c r="C86" i="1" s="1"/>
  <c r="F86" i="1" s="1"/>
  <c r="D84" i="1" l="1"/>
  <c r="A87" i="1"/>
  <c r="C87" i="1" s="1"/>
  <c r="F87" i="1" s="1"/>
  <c r="D85" i="1" l="1"/>
  <c r="A88" i="1"/>
  <c r="C88" i="1" s="1"/>
  <c r="F88" i="1" s="1"/>
  <c r="D86" i="1" l="1"/>
  <c r="A89" i="1"/>
  <c r="C89" i="1" s="1"/>
  <c r="F89" i="1" s="1"/>
  <c r="D87" i="1" l="1"/>
  <c r="A90" i="1"/>
  <c r="C90" i="1" s="1"/>
  <c r="F90" i="1" s="1"/>
  <c r="D88" i="1" l="1"/>
  <c r="A91" i="1"/>
  <c r="C91" i="1" s="1"/>
  <c r="F91" i="1" s="1"/>
  <c r="D89" i="1" l="1"/>
  <c r="A92" i="1"/>
  <c r="C92" i="1" s="1"/>
  <c r="F92" i="1" s="1"/>
  <c r="D90" i="1" l="1"/>
  <c r="A93" i="1"/>
  <c r="C93" i="1" s="1"/>
  <c r="F93" i="1" s="1"/>
  <c r="D91" i="1" l="1"/>
  <c r="A94" i="1"/>
  <c r="C94" i="1" s="1"/>
  <c r="F94" i="1" s="1"/>
  <c r="D92" i="1" l="1"/>
  <c r="A95" i="1"/>
  <c r="C95" i="1" s="1"/>
  <c r="F95" i="1" s="1"/>
  <c r="A96" i="1" l="1"/>
  <c r="C96" i="1" s="1"/>
  <c r="F96" i="1" s="1"/>
  <c r="D93" i="1"/>
  <c r="A97" i="1" l="1"/>
  <c r="C97" i="1" s="1"/>
  <c r="F97" i="1" s="1"/>
  <c r="D94" i="1"/>
  <c r="D95" i="1" l="1"/>
  <c r="A98" i="1"/>
  <c r="C98" i="1" s="1"/>
  <c r="F98" i="1" s="1"/>
  <c r="D96" i="1" l="1"/>
  <c r="A99" i="1"/>
  <c r="C99" i="1" s="1"/>
  <c r="F99" i="1" s="1"/>
  <c r="D97" i="1" l="1"/>
  <c r="A100" i="1"/>
  <c r="C100" i="1" s="1"/>
  <c r="F100" i="1" s="1"/>
  <c r="D98" i="1" l="1"/>
  <c r="A101" i="1"/>
  <c r="C101" i="1" s="1"/>
  <c r="F101" i="1" s="1"/>
  <c r="D99" i="1" l="1"/>
  <c r="A102" i="1"/>
  <c r="C102" i="1" s="1"/>
  <c r="F102" i="1" s="1"/>
  <c r="D100" i="1" l="1"/>
  <c r="A103" i="1"/>
  <c r="C103" i="1" s="1"/>
  <c r="F103" i="1" s="1"/>
  <c r="D101" i="1" l="1"/>
  <c r="A104" i="1"/>
  <c r="C104" i="1" s="1"/>
  <c r="F104" i="1" s="1"/>
  <c r="D102" i="1" l="1"/>
  <c r="A105" i="1"/>
  <c r="C105" i="1" s="1"/>
  <c r="F105" i="1" s="1"/>
  <c r="D103" i="1" l="1"/>
  <c r="A106" i="1"/>
  <c r="C106" i="1" s="1"/>
  <c r="F106" i="1" s="1"/>
  <c r="D104" i="1" l="1"/>
  <c r="A107" i="1"/>
  <c r="C107" i="1" s="1"/>
  <c r="F107" i="1" s="1"/>
  <c r="D105" i="1" l="1"/>
  <c r="A108" i="1"/>
  <c r="C108" i="1" s="1"/>
  <c r="F108" i="1" s="1"/>
  <c r="D106" i="1" l="1"/>
  <c r="A109" i="1"/>
  <c r="C109" i="1" s="1"/>
  <c r="F109" i="1" s="1"/>
  <c r="D107" i="1" l="1"/>
  <c r="A110" i="1"/>
  <c r="C110" i="1" s="1"/>
  <c r="F110" i="1" s="1"/>
  <c r="D108" i="1" l="1"/>
  <c r="A111" i="1"/>
  <c r="C111" i="1" s="1"/>
  <c r="F111" i="1" s="1"/>
  <c r="D109" i="1" l="1"/>
  <c r="A112" i="1"/>
  <c r="C112" i="1" s="1"/>
  <c r="F112" i="1" s="1"/>
  <c r="D110" i="1" l="1"/>
  <c r="A113" i="1"/>
  <c r="C113" i="1" s="1"/>
  <c r="F113" i="1" s="1"/>
  <c r="D111" i="1" l="1"/>
  <c r="A114" i="1"/>
  <c r="C114" i="1" s="1"/>
  <c r="F114" i="1" s="1"/>
  <c r="D112" i="1" l="1"/>
  <c r="A115" i="1"/>
  <c r="C115" i="1" s="1"/>
  <c r="F115" i="1" s="1"/>
  <c r="D113" i="1" l="1"/>
  <c r="A116" i="1"/>
  <c r="C116" i="1" s="1"/>
  <c r="F116" i="1" s="1"/>
  <c r="D114" i="1" l="1"/>
  <c r="A117" i="1"/>
  <c r="C117" i="1" s="1"/>
  <c r="F117" i="1" s="1"/>
  <c r="D115" i="1" l="1"/>
  <c r="A118" i="1"/>
  <c r="C118" i="1" s="1"/>
  <c r="F118" i="1" s="1"/>
  <c r="D116" i="1" l="1"/>
  <c r="A119" i="1"/>
  <c r="C119" i="1" s="1"/>
  <c r="F119" i="1" s="1"/>
  <c r="D117" i="1" l="1"/>
  <c r="A120" i="1"/>
  <c r="C120" i="1" s="1"/>
  <c r="F120" i="1" s="1"/>
  <c r="D118" i="1" l="1"/>
  <c r="A121" i="1"/>
  <c r="C121" i="1" s="1"/>
  <c r="F121" i="1" s="1"/>
  <c r="D119" i="1" l="1"/>
  <c r="A122" i="1"/>
  <c r="C122" i="1" s="1"/>
  <c r="F122" i="1" s="1"/>
  <c r="D120" i="1" l="1"/>
  <c r="A123" i="1"/>
  <c r="C123" i="1" s="1"/>
  <c r="F123" i="1" s="1"/>
  <c r="D121" i="1" l="1"/>
  <c r="A124" i="1"/>
  <c r="C124" i="1" s="1"/>
  <c r="F124" i="1" s="1"/>
  <c r="D122" i="1" l="1"/>
  <c r="A125" i="1"/>
  <c r="C125" i="1" s="1"/>
  <c r="F125" i="1" s="1"/>
  <c r="D123" i="1" l="1"/>
  <c r="A126" i="1"/>
  <c r="C126" i="1" s="1"/>
  <c r="F126" i="1" s="1"/>
  <c r="D124" i="1" l="1"/>
  <c r="A127" i="1"/>
  <c r="C127" i="1" s="1"/>
  <c r="F127" i="1" s="1"/>
  <c r="D125" i="1" l="1"/>
  <c r="A128" i="1"/>
  <c r="C128" i="1" s="1"/>
  <c r="F128" i="1" s="1"/>
  <c r="D126" i="1" l="1"/>
  <c r="A129" i="1"/>
  <c r="C129" i="1" s="1"/>
  <c r="F129" i="1" s="1"/>
  <c r="D127" i="1" l="1"/>
  <c r="A130" i="1"/>
  <c r="C130" i="1" s="1"/>
  <c r="F130" i="1" s="1"/>
  <c r="D128" i="1" l="1"/>
  <c r="A131" i="1"/>
  <c r="C131" i="1" s="1"/>
  <c r="F131" i="1" s="1"/>
  <c r="D129" i="1" l="1"/>
  <c r="A132" i="1"/>
  <c r="C132" i="1" s="1"/>
  <c r="F132" i="1" s="1"/>
  <c r="D130" i="1" l="1"/>
  <c r="A133" i="1"/>
  <c r="C133" i="1" s="1"/>
  <c r="F133" i="1" s="1"/>
  <c r="D131" i="1" l="1"/>
  <c r="A134" i="1"/>
  <c r="C134" i="1" s="1"/>
  <c r="F134" i="1" s="1"/>
  <c r="D132" i="1" l="1"/>
  <c r="A135" i="1"/>
  <c r="C135" i="1" s="1"/>
  <c r="F135" i="1" s="1"/>
  <c r="D133" i="1" l="1"/>
  <c r="A136" i="1"/>
  <c r="C136" i="1" s="1"/>
  <c r="F136" i="1" s="1"/>
  <c r="D134" i="1" l="1"/>
  <c r="A137" i="1"/>
  <c r="C137" i="1" s="1"/>
  <c r="F137" i="1" s="1"/>
  <c r="D135" i="1" l="1"/>
  <c r="A138" i="1"/>
  <c r="C138" i="1" s="1"/>
  <c r="F138" i="1" s="1"/>
  <c r="D136" i="1" l="1"/>
  <c r="A139" i="1"/>
  <c r="C139" i="1" s="1"/>
  <c r="F139" i="1" s="1"/>
  <c r="D137" i="1" l="1"/>
  <c r="A140" i="1"/>
  <c r="C140" i="1" s="1"/>
  <c r="H140" i="1" l="1"/>
  <c r="F140" i="1"/>
  <c r="D138" i="1"/>
  <c r="A141" i="1"/>
  <c r="C141" i="1" s="1"/>
  <c r="H141" i="1" l="1"/>
  <c r="F141" i="1"/>
  <c r="D139" i="1"/>
  <c r="A142" i="1"/>
  <c r="C142" i="1" s="1"/>
  <c r="M140" i="1"/>
  <c r="H142" i="1" l="1"/>
  <c r="F142" i="1"/>
  <c r="D140" i="1"/>
  <c r="A143" i="1"/>
  <c r="C143" i="1" s="1"/>
  <c r="M141" i="1"/>
  <c r="F143" i="1" l="1"/>
  <c r="H143" i="1"/>
  <c r="D141" i="1"/>
  <c r="A144" i="1"/>
  <c r="C144" i="1" s="1"/>
  <c r="M142" i="1"/>
  <c r="H144" i="1" l="1"/>
  <c r="F144" i="1"/>
  <c r="D142" i="1"/>
  <c r="A145" i="1"/>
  <c r="C145" i="1" s="1"/>
  <c r="M143" i="1"/>
  <c r="H145" i="1" l="1"/>
  <c r="F145" i="1"/>
  <c r="D143" i="1"/>
  <c r="A146" i="1"/>
  <c r="C146" i="1" s="1"/>
  <c r="M144" i="1"/>
  <c r="H146" i="1" l="1"/>
  <c r="F146" i="1"/>
  <c r="D144" i="1"/>
  <c r="A147" i="1"/>
  <c r="C147" i="1" s="1"/>
  <c r="M145" i="1"/>
  <c r="H147" i="1" l="1"/>
  <c r="F147" i="1"/>
  <c r="D145" i="1"/>
  <c r="A148" i="1"/>
  <c r="C148" i="1" s="1"/>
  <c r="M146" i="1"/>
  <c r="H148" i="1" l="1"/>
  <c r="F148" i="1"/>
  <c r="D146" i="1"/>
  <c r="A149" i="1"/>
  <c r="C149" i="1" s="1"/>
  <c r="M147" i="1"/>
  <c r="H149" i="1" l="1"/>
  <c r="F149" i="1"/>
  <c r="D147" i="1"/>
  <c r="A150" i="1"/>
  <c r="C150" i="1" s="1"/>
  <c r="M148" i="1"/>
  <c r="H150" i="1" l="1"/>
  <c r="F150" i="1"/>
  <c r="D148" i="1"/>
  <c r="A151" i="1"/>
  <c r="C151" i="1" s="1"/>
  <c r="M149" i="1"/>
  <c r="F151" i="1" l="1"/>
  <c r="H151" i="1"/>
  <c r="D149" i="1"/>
  <c r="A152" i="1"/>
  <c r="C152" i="1" s="1"/>
  <c r="M150" i="1"/>
  <c r="H152" i="1" l="1"/>
  <c r="F152" i="1"/>
  <c r="D150" i="1"/>
  <c r="M151" i="1"/>
  <c r="A153" i="1"/>
  <c r="C153" i="1" s="1"/>
  <c r="H153" i="1" l="1"/>
  <c r="F153" i="1"/>
  <c r="M152" i="1"/>
  <c r="A154" i="1"/>
  <c r="C154" i="1" s="1"/>
  <c r="D151" i="1"/>
  <c r="H154" i="1" l="1"/>
  <c r="F154" i="1"/>
  <c r="M153" i="1"/>
  <c r="D152" i="1"/>
  <c r="A155" i="1"/>
  <c r="C155" i="1" s="1"/>
  <c r="H155" i="1" l="1"/>
  <c r="F155" i="1"/>
  <c r="M154" i="1"/>
  <c r="A156" i="1"/>
  <c r="C156" i="1" s="1"/>
  <c r="D153" i="1"/>
  <c r="H156" i="1" l="1"/>
  <c r="F156" i="1"/>
  <c r="M155" i="1"/>
  <c r="A157" i="1"/>
  <c r="C157" i="1" s="1"/>
  <c r="D154" i="1"/>
  <c r="H157" i="1" l="1"/>
  <c r="F157" i="1"/>
  <c r="M156" i="1"/>
  <c r="D155" i="1"/>
  <c r="A158" i="1"/>
  <c r="C158" i="1" s="1"/>
  <c r="H158" i="1" l="1"/>
  <c r="F158" i="1"/>
  <c r="D156" i="1"/>
  <c r="A159" i="1"/>
  <c r="C159" i="1" s="1"/>
  <c r="M157" i="1"/>
  <c r="F159" i="1" l="1"/>
  <c r="H159" i="1"/>
  <c r="D157" i="1"/>
  <c r="A160" i="1"/>
  <c r="C160" i="1" s="1"/>
  <c r="M158" i="1"/>
  <c r="H160" i="1" l="1"/>
  <c r="F160" i="1"/>
  <c r="D158" i="1"/>
  <c r="A161" i="1"/>
  <c r="C161" i="1" s="1"/>
  <c r="M159" i="1"/>
  <c r="H161" i="1" l="1"/>
  <c r="F161" i="1"/>
  <c r="D159" i="1"/>
  <c r="A162" i="1"/>
  <c r="C162" i="1" s="1"/>
  <c r="M160" i="1"/>
  <c r="H162" i="1" l="1"/>
  <c r="F162" i="1"/>
  <c r="M161" i="1"/>
  <c r="D160" i="1"/>
  <c r="A163" i="1"/>
  <c r="C163" i="1" s="1"/>
  <c r="H163" i="1" l="1"/>
  <c r="F163" i="1"/>
  <c r="D161" i="1"/>
  <c r="A164" i="1"/>
  <c r="C164" i="1" s="1"/>
  <c r="M162" i="1"/>
  <c r="H164" i="1" l="1"/>
  <c r="F164" i="1"/>
  <c r="D162" i="1"/>
  <c r="A165" i="1"/>
  <c r="C165" i="1" s="1"/>
  <c r="M163" i="1"/>
  <c r="H165" i="1" l="1"/>
  <c r="F165" i="1"/>
  <c r="D163" i="1"/>
  <c r="A166" i="1"/>
  <c r="C166" i="1" s="1"/>
  <c r="M164" i="1"/>
  <c r="H166" i="1" l="1"/>
  <c r="F166" i="1"/>
  <c r="D164" i="1"/>
  <c r="A167" i="1"/>
  <c r="C167" i="1" s="1"/>
  <c r="M165" i="1"/>
  <c r="F167" i="1" l="1"/>
  <c r="H167" i="1"/>
  <c r="D165" i="1"/>
  <c r="A168" i="1"/>
  <c r="C168" i="1" s="1"/>
  <c r="M166" i="1"/>
  <c r="H168" i="1" l="1"/>
  <c r="F168" i="1"/>
  <c r="D166" i="1"/>
  <c r="A169" i="1"/>
  <c r="C169" i="1" s="1"/>
  <c r="M167" i="1"/>
  <c r="H169" i="1" l="1"/>
  <c r="F169" i="1"/>
  <c r="D167" i="1"/>
  <c r="A170" i="1"/>
  <c r="C170" i="1" s="1"/>
  <c r="M168" i="1"/>
  <c r="H170" i="1" l="1"/>
  <c r="F170" i="1"/>
  <c r="D168" i="1"/>
  <c r="A171" i="1"/>
  <c r="C171" i="1" s="1"/>
  <c r="M169" i="1"/>
  <c r="F171" i="1" l="1"/>
  <c r="H171" i="1"/>
  <c r="D169" i="1"/>
  <c r="A172" i="1"/>
  <c r="C172" i="1" s="1"/>
  <c r="M170" i="1"/>
  <c r="H172" i="1" l="1"/>
  <c r="F172" i="1"/>
  <c r="D170" i="1"/>
  <c r="A173" i="1"/>
  <c r="C173" i="1" s="1"/>
  <c r="M171" i="1"/>
  <c r="H173" i="1" l="1"/>
  <c r="F173" i="1"/>
  <c r="D171" i="1"/>
  <c r="A174" i="1"/>
  <c r="C174" i="1" s="1"/>
  <c r="M172" i="1"/>
  <c r="H174" i="1" l="1"/>
  <c r="F174" i="1"/>
  <c r="D172" i="1"/>
  <c r="A175" i="1"/>
  <c r="C175" i="1" s="1"/>
  <c r="M173" i="1"/>
  <c r="K41" i="1"/>
  <c r="F175" i="1" l="1"/>
  <c r="H175" i="1"/>
  <c r="I42" i="1"/>
  <c r="M174" i="1"/>
  <c r="D173" i="1"/>
  <c r="A176" i="1"/>
  <c r="C176" i="1" s="1"/>
  <c r="L41" i="1"/>
  <c r="H176" i="1" l="1"/>
  <c r="F176" i="1"/>
  <c r="E42" i="1"/>
  <c r="E43" i="1" s="1"/>
  <c r="E44" i="1" s="1"/>
  <c r="E45" i="1" s="1"/>
  <c r="E46" i="1" s="1"/>
  <c r="E47" i="1" s="1"/>
  <c r="E48" i="1" s="1"/>
  <c r="E49" i="1" s="1"/>
  <c r="E50" i="1" s="1"/>
  <c r="A177" i="1"/>
  <c r="C177" i="1" s="1"/>
  <c r="M175" i="1"/>
  <c r="D174" i="1"/>
  <c r="M41" i="1"/>
  <c r="H177" i="1" l="1"/>
  <c r="F177" i="1"/>
  <c r="G51" i="1"/>
  <c r="D175" i="1"/>
  <c r="A178" i="1"/>
  <c r="C178" i="1" s="1"/>
  <c r="M176" i="1"/>
  <c r="O3" i="1"/>
  <c r="G43" i="1"/>
  <c r="I43" i="1" s="1"/>
  <c r="H178" i="1" l="1"/>
  <c r="F178" i="1"/>
  <c r="A179" i="1"/>
  <c r="C179" i="1" s="1"/>
  <c r="M177" i="1"/>
  <c r="D176" i="1"/>
  <c r="G44" i="1"/>
  <c r="I44" i="1" s="1"/>
  <c r="O12" i="1"/>
  <c r="N17" i="1"/>
  <c r="N12" i="1"/>
  <c r="H179" i="1" l="1"/>
  <c r="F179" i="1"/>
  <c r="D177" i="1"/>
  <c r="A180" i="1"/>
  <c r="C180" i="1" s="1"/>
  <c r="M178" i="1"/>
  <c r="O18" i="1"/>
  <c r="O20" i="1"/>
  <c r="O21" i="1"/>
  <c r="O19" i="1"/>
  <c r="O22" i="1"/>
  <c r="P18" i="1"/>
  <c r="G45" i="1"/>
  <c r="I45" i="1" s="1"/>
  <c r="H180" i="1" l="1"/>
  <c r="F180" i="1"/>
  <c r="D178" i="1"/>
  <c r="A181" i="1"/>
  <c r="C181" i="1" s="1"/>
  <c r="M179" i="1"/>
  <c r="G46" i="1"/>
  <c r="I46" i="1" s="1"/>
  <c r="Q18" i="1"/>
  <c r="O24" i="1"/>
  <c r="H181" i="1" l="1"/>
  <c r="F181" i="1"/>
  <c r="D179" i="1"/>
  <c r="H42" i="1"/>
  <c r="H43" i="1"/>
  <c r="H49" i="1"/>
  <c r="H50" i="1"/>
  <c r="A182" i="1"/>
  <c r="C182" i="1" s="1"/>
  <c r="M180" i="1"/>
  <c r="N18" i="1"/>
  <c r="G47" i="1"/>
  <c r="I47" i="1" s="1"/>
  <c r="H182" i="1" l="1"/>
  <c r="F182" i="1"/>
  <c r="D180" i="1"/>
  <c r="A183" i="1"/>
  <c r="C183" i="1" s="1"/>
  <c r="M181" i="1"/>
  <c r="P19" i="1"/>
  <c r="G48" i="1"/>
  <c r="I48" i="1" s="1"/>
  <c r="F183" i="1" l="1"/>
  <c r="H183" i="1"/>
  <c r="D181" i="1"/>
  <c r="A184" i="1"/>
  <c r="C184" i="1" s="1"/>
  <c r="M182" i="1"/>
  <c r="G49" i="1"/>
  <c r="I49" i="1" s="1"/>
  <c r="Q19" i="1"/>
  <c r="H184" i="1" l="1"/>
  <c r="F184" i="1"/>
  <c r="H44" i="1"/>
  <c r="M44" i="1" s="1"/>
  <c r="D182" i="1"/>
  <c r="A185" i="1"/>
  <c r="C185" i="1" s="1"/>
  <c r="M183" i="1"/>
  <c r="M43" i="1"/>
  <c r="M42" i="1"/>
  <c r="M49" i="1"/>
  <c r="N19" i="1"/>
  <c r="G50" i="1"/>
  <c r="I50" i="1" s="1"/>
  <c r="K50" i="1" s="1"/>
  <c r="L50" i="1" s="1"/>
  <c r="H185" i="1" l="1"/>
  <c r="F185" i="1"/>
  <c r="E51" i="1"/>
  <c r="E52" i="1" s="1"/>
  <c r="E53" i="1" s="1"/>
  <c r="E54" i="1" s="1"/>
  <c r="E55" i="1" s="1"/>
  <c r="M50" i="1"/>
  <c r="M184" i="1"/>
  <c r="D183" i="1"/>
  <c r="A186" i="1"/>
  <c r="C186" i="1" s="1"/>
  <c r="I51" i="1"/>
  <c r="P20" i="1"/>
  <c r="H186" i="1" l="1"/>
  <c r="F186" i="1"/>
  <c r="Z3" i="1"/>
  <c r="Y12" i="1" s="1"/>
  <c r="Z24" i="1" s="1"/>
  <c r="D184" i="1"/>
  <c r="A187" i="1"/>
  <c r="C187" i="1" s="1"/>
  <c r="M185" i="1"/>
  <c r="Q20" i="1"/>
  <c r="G52" i="1"/>
  <c r="I52" i="1" s="1"/>
  <c r="H187" i="1" l="1"/>
  <c r="F187" i="1"/>
  <c r="Z12" i="1"/>
  <c r="Y19" i="1"/>
  <c r="AA20" i="1" s="1"/>
  <c r="Z23" i="1"/>
  <c r="AB19" i="1"/>
  <c r="Z22" i="1"/>
  <c r="Z20" i="1"/>
  <c r="Z21" i="1"/>
  <c r="H45" i="1"/>
  <c r="M45" i="1" s="1"/>
  <c r="D185" i="1"/>
  <c r="A188" i="1"/>
  <c r="C188" i="1" s="1"/>
  <c r="M186" i="1"/>
  <c r="G53" i="1"/>
  <c r="I53" i="1" s="1"/>
  <c r="N20" i="1"/>
  <c r="H188" i="1" l="1"/>
  <c r="F188" i="1"/>
  <c r="Y18" i="1"/>
  <c r="AB20" i="1"/>
  <c r="Y20" i="1" s="1"/>
  <c r="AA21" i="1" s="1"/>
  <c r="H52" i="1"/>
  <c r="M52" i="1" s="1"/>
  <c r="H56" i="1"/>
  <c r="H60" i="1"/>
  <c r="M60" i="1" s="1"/>
  <c r="H64" i="1"/>
  <c r="M64" i="1" s="1"/>
  <c r="H68" i="1"/>
  <c r="M68" i="1" s="1"/>
  <c r="H59" i="1"/>
  <c r="M59" i="1" s="1"/>
  <c r="H53" i="1"/>
  <c r="M53" i="1" s="1"/>
  <c r="H57" i="1"/>
  <c r="H61" i="1"/>
  <c r="M61" i="1" s="1"/>
  <c r="H65" i="1"/>
  <c r="M65" i="1" s="1"/>
  <c r="H69" i="1"/>
  <c r="H51" i="1"/>
  <c r="M51" i="1" s="1"/>
  <c r="H55" i="1"/>
  <c r="H67" i="1"/>
  <c r="M67" i="1" s="1"/>
  <c r="H54" i="1"/>
  <c r="M54" i="1" s="1"/>
  <c r="H58" i="1"/>
  <c r="M58" i="1" s="1"/>
  <c r="H62" i="1"/>
  <c r="M62" i="1" s="1"/>
  <c r="H66" i="1"/>
  <c r="M66" i="1" s="1"/>
  <c r="H63" i="1"/>
  <c r="M63" i="1" s="1"/>
  <c r="Z26" i="1"/>
  <c r="AB18" i="1"/>
  <c r="M187" i="1"/>
  <c r="A189" i="1"/>
  <c r="C189" i="1" s="1"/>
  <c r="D186" i="1"/>
  <c r="G54" i="1"/>
  <c r="I54" i="1" s="1"/>
  <c r="P21" i="1"/>
  <c r="H76" i="1" l="1"/>
  <c r="H80" i="1"/>
  <c r="H74" i="1"/>
  <c r="H83" i="1"/>
  <c r="H73" i="1"/>
  <c r="H189" i="1"/>
  <c r="F189" i="1"/>
  <c r="H78" i="1"/>
  <c r="H81" i="1"/>
  <c r="H71" i="1"/>
  <c r="H77" i="1"/>
  <c r="H70" i="1"/>
  <c r="H79" i="1"/>
  <c r="H82" i="1"/>
  <c r="H75" i="1"/>
  <c r="H72" i="1"/>
  <c r="AB21" i="1"/>
  <c r="Y21" i="1" s="1"/>
  <c r="M188" i="1"/>
  <c r="D187" i="1"/>
  <c r="A190" i="1"/>
  <c r="C190" i="1" s="1"/>
  <c r="Q21" i="1"/>
  <c r="G55" i="1"/>
  <c r="I55" i="1" s="1"/>
  <c r="H190" i="1" l="1"/>
  <c r="F190" i="1"/>
  <c r="H93" i="1"/>
  <c r="H88" i="1"/>
  <c r="H89" i="1"/>
  <c r="H84" i="1"/>
  <c r="H86" i="1"/>
  <c r="H95" i="1"/>
  <c r="H87" i="1"/>
  <c r="H92" i="1"/>
  <c r="H91" i="1"/>
  <c r="H85" i="1"/>
  <c r="H90" i="1"/>
  <c r="H96" i="1"/>
  <c r="H94" i="1"/>
  <c r="H97" i="1"/>
  <c r="H46" i="1"/>
  <c r="M46" i="1" s="1"/>
  <c r="AA22" i="1"/>
  <c r="D188" i="1"/>
  <c r="A191" i="1"/>
  <c r="C191" i="1" s="1"/>
  <c r="M189" i="1"/>
  <c r="G56" i="1"/>
  <c r="M78" i="1"/>
  <c r="M80" i="1"/>
  <c r="M76" i="1"/>
  <c r="M75" i="1"/>
  <c r="M73" i="1"/>
  <c r="M82" i="1"/>
  <c r="M79" i="1"/>
  <c r="M70" i="1"/>
  <c r="M81" i="1"/>
  <c r="M74" i="1"/>
  <c r="M71" i="1"/>
  <c r="M72" i="1"/>
  <c r="M77" i="1"/>
  <c r="N21" i="1"/>
  <c r="F191" i="1" l="1"/>
  <c r="H191" i="1"/>
  <c r="K55" i="1"/>
  <c r="L55" i="1" s="1"/>
  <c r="AB22" i="1"/>
  <c r="Y22" i="1" s="1"/>
  <c r="D189" i="1"/>
  <c r="A192" i="1"/>
  <c r="C192" i="1" s="1"/>
  <c r="M190" i="1"/>
  <c r="P22" i="1"/>
  <c r="Q22" i="1" s="1"/>
  <c r="H192" i="1" l="1"/>
  <c r="F192" i="1"/>
  <c r="H109" i="1"/>
  <c r="H110" i="1"/>
  <c r="H104" i="1"/>
  <c r="H102" i="1"/>
  <c r="H108" i="1"/>
  <c r="H99" i="1"/>
  <c r="H105" i="1"/>
  <c r="H98" i="1"/>
  <c r="H100" i="1"/>
  <c r="H111" i="1"/>
  <c r="H103" i="1"/>
  <c r="H107" i="1"/>
  <c r="H106" i="1"/>
  <c r="H101" i="1"/>
  <c r="I56" i="1"/>
  <c r="E56" i="1"/>
  <c r="M55" i="1"/>
  <c r="H47" i="1"/>
  <c r="M47" i="1" s="1"/>
  <c r="M56" i="1"/>
  <c r="D190" i="1"/>
  <c r="N22" i="1"/>
  <c r="P23" i="1" s="1"/>
  <c r="M192" i="1"/>
  <c r="D192" i="1"/>
  <c r="M191" i="1"/>
  <c r="D191" i="1"/>
  <c r="M88" i="1"/>
  <c r="M94" i="1"/>
  <c r="M85" i="1"/>
  <c r="M92" i="1"/>
  <c r="M93" i="1"/>
  <c r="M87" i="1"/>
  <c r="M95" i="1"/>
  <c r="M84" i="1"/>
  <c r="M91" i="1"/>
  <c r="M86" i="1"/>
  <c r="M89" i="1"/>
  <c r="M90" i="1"/>
  <c r="M96" i="1"/>
  <c r="E57" i="1" l="1"/>
  <c r="G57" i="1"/>
  <c r="I57" i="1" s="1"/>
  <c r="AA23" i="1"/>
  <c r="Q23" i="1"/>
  <c r="P24" i="1"/>
  <c r="H48" i="1" l="1"/>
  <c r="M48" i="1" s="1"/>
  <c r="M57" i="1"/>
  <c r="E58" i="1"/>
  <c r="G58" i="1"/>
  <c r="I58" i="1" s="1"/>
  <c r="AB23" i="1"/>
  <c r="Y23" i="1" s="1"/>
  <c r="M104" i="1"/>
  <c r="M100" i="1"/>
  <c r="M105" i="1"/>
  <c r="M102" i="1"/>
  <c r="M107" i="1"/>
  <c r="M101" i="1"/>
  <c r="M99" i="1"/>
  <c r="M106" i="1"/>
  <c r="M110" i="1"/>
  <c r="M103" i="1"/>
  <c r="M98" i="1"/>
  <c r="M108" i="1"/>
  <c r="M109" i="1"/>
  <c r="N23" i="1"/>
  <c r="Q24" i="1"/>
  <c r="H125" i="1" l="1"/>
  <c r="H120" i="1"/>
  <c r="M120" i="1" s="1"/>
  <c r="H123" i="1"/>
  <c r="M123" i="1" s="1"/>
  <c r="H118" i="1"/>
  <c r="M118" i="1" s="1"/>
  <c r="H121" i="1"/>
  <c r="M121" i="1" s="1"/>
  <c r="H116" i="1"/>
  <c r="M116" i="1" s="1"/>
  <c r="H119" i="1"/>
  <c r="M119" i="1" s="1"/>
  <c r="H113" i="1"/>
  <c r="M113" i="1" s="1"/>
  <c r="H117" i="1"/>
  <c r="M117" i="1" s="1"/>
  <c r="H112" i="1"/>
  <c r="M112" i="1" s="1"/>
  <c r="H122" i="1"/>
  <c r="M122" i="1" s="1"/>
  <c r="H124" i="1"/>
  <c r="M124" i="1" s="1"/>
  <c r="H114" i="1"/>
  <c r="M114" i="1" s="1"/>
  <c r="H115" i="1"/>
  <c r="M115" i="1" s="1"/>
  <c r="E59" i="1"/>
  <c r="G59" i="1"/>
  <c r="I59" i="1" s="1"/>
  <c r="AA24" i="1"/>
  <c r="AB24" i="1" l="1"/>
  <c r="AA26" i="1"/>
  <c r="E60" i="1"/>
  <c r="G60" i="1"/>
  <c r="I60" i="1" s="1"/>
  <c r="H139" i="1" l="1"/>
  <c r="Y24" i="1"/>
  <c r="H130" i="1"/>
  <c r="M130" i="1" s="1"/>
  <c r="H136" i="1"/>
  <c r="M136" i="1" s="1"/>
  <c r="H137" i="1"/>
  <c r="M137" i="1" s="1"/>
  <c r="H132" i="1"/>
  <c r="M132" i="1" s="1"/>
  <c r="H138" i="1"/>
  <c r="M138" i="1" s="1"/>
  <c r="H135" i="1"/>
  <c r="M135" i="1" s="1"/>
  <c r="H127" i="1"/>
  <c r="M127" i="1" s="1"/>
  <c r="H129" i="1"/>
  <c r="M129" i="1" s="1"/>
  <c r="H131" i="1"/>
  <c r="M131" i="1" s="1"/>
  <c r="H133" i="1"/>
  <c r="M133" i="1" s="1"/>
  <c r="H134" i="1"/>
  <c r="M134" i="1" s="1"/>
  <c r="H128" i="1"/>
  <c r="M128" i="1" s="1"/>
  <c r="H126" i="1"/>
  <c r="M126" i="1" s="1"/>
  <c r="AB26" i="1"/>
  <c r="E61" i="1"/>
  <c r="G61" i="1"/>
  <c r="I61" i="1" s="1"/>
  <c r="E62" i="1" l="1"/>
  <c r="G62" i="1"/>
  <c r="I62" i="1" s="1"/>
  <c r="E63" i="1" l="1"/>
  <c r="G63" i="1"/>
  <c r="I63" i="1" s="1"/>
  <c r="E64" i="1" l="1"/>
  <c r="G64" i="1"/>
  <c r="I64" i="1" s="1"/>
  <c r="E65" i="1" l="1"/>
  <c r="G65" i="1"/>
  <c r="I65" i="1" s="1"/>
  <c r="E66" i="1" l="1"/>
  <c r="G66" i="1"/>
  <c r="I66" i="1" s="1"/>
  <c r="E67" i="1" l="1"/>
  <c r="G67" i="1"/>
  <c r="I67" i="1" s="1"/>
  <c r="E68" i="1" l="1"/>
  <c r="G68" i="1"/>
  <c r="I68" i="1" s="1"/>
  <c r="E69" i="1" l="1"/>
  <c r="G70" i="1" s="1"/>
  <c r="G69" i="1"/>
  <c r="I69" i="1" s="1"/>
  <c r="J69" i="1" s="1"/>
  <c r="K69" i="1" s="1"/>
  <c r="L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M69" i="1" l="1"/>
  <c r="I70" i="1"/>
  <c r="G71" i="1"/>
  <c r="I71" i="1" s="1"/>
  <c r="G72" i="1"/>
  <c r="I72" i="1" l="1"/>
  <c r="G73" i="1"/>
  <c r="I73" i="1" s="1"/>
  <c r="G74" i="1" l="1"/>
  <c r="I74" i="1" s="1"/>
  <c r="G75" i="1" l="1"/>
  <c r="I75" i="1" s="1"/>
  <c r="G76" i="1" l="1"/>
  <c r="I76" i="1" s="1"/>
  <c r="G77" i="1" l="1"/>
  <c r="I77" i="1" s="1"/>
  <c r="G78" i="1" l="1"/>
  <c r="I78" i="1" s="1"/>
  <c r="G79" i="1" l="1"/>
  <c r="I79" i="1" s="1"/>
  <c r="G80" i="1" l="1"/>
  <c r="I80" i="1" s="1"/>
  <c r="G81" i="1" l="1"/>
  <c r="I81" i="1" s="1"/>
  <c r="G82" i="1" l="1"/>
  <c r="I82" i="1" s="1"/>
  <c r="G83" i="1" l="1"/>
  <c r="I83" i="1" s="1"/>
  <c r="J83" i="1" s="1"/>
  <c r="K83" i="1" s="1"/>
  <c r="L83" i="1" s="1"/>
  <c r="M83" i="1" l="1"/>
  <c r="E84" i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G84" i="1"/>
  <c r="I84" i="1" s="1"/>
  <c r="G85" i="1" l="1"/>
  <c r="I85" i="1" s="1"/>
  <c r="G86" i="1" l="1"/>
  <c r="I86" i="1" s="1"/>
  <c r="G87" i="1" l="1"/>
  <c r="I87" i="1" s="1"/>
  <c r="G88" i="1" l="1"/>
  <c r="I88" i="1" s="1"/>
  <c r="G89" i="1" l="1"/>
  <c r="I89" i="1" s="1"/>
  <c r="G90" i="1" l="1"/>
  <c r="I90" i="1" s="1"/>
  <c r="G91" i="1" l="1"/>
  <c r="I91" i="1" s="1"/>
  <c r="G92" i="1" l="1"/>
  <c r="I92" i="1" s="1"/>
  <c r="G93" i="1" l="1"/>
  <c r="I93" i="1" s="1"/>
  <c r="G94" i="1" l="1"/>
  <c r="I94" i="1" s="1"/>
  <c r="G95" i="1" l="1"/>
  <c r="I95" i="1" s="1"/>
  <c r="G96" i="1" l="1"/>
  <c r="I96" i="1" s="1"/>
  <c r="G97" i="1" l="1"/>
  <c r="I97" i="1" s="1"/>
  <c r="J97" i="1" s="1"/>
  <c r="K97" i="1" s="1"/>
  <c r="L97" i="1" s="1"/>
  <c r="M97" i="1" l="1"/>
  <c r="E98" i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G98" i="1"/>
  <c r="I98" i="1" s="1"/>
  <c r="G99" i="1" l="1"/>
  <c r="I99" i="1" s="1"/>
  <c r="G100" i="1" l="1"/>
  <c r="I100" i="1" s="1"/>
  <c r="G101" i="1" l="1"/>
  <c r="I101" i="1" s="1"/>
  <c r="G102" i="1" l="1"/>
  <c r="I102" i="1" s="1"/>
  <c r="G103" i="1" l="1"/>
  <c r="I103" i="1" s="1"/>
  <c r="G104" i="1" l="1"/>
  <c r="I104" i="1" s="1"/>
  <c r="G105" i="1" l="1"/>
  <c r="I105" i="1" s="1"/>
  <c r="G106" i="1" l="1"/>
  <c r="I106" i="1" s="1"/>
  <c r="G107" i="1" l="1"/>
  <c r="I107" i="1" s="1"/>
  <c r="G108" i="1" l="1"/>
  <c r="I108" i="1" s="1"/>
  <c r="G109" i="1" l="1"/>
  <c r="I109" i="1" s="1"/>
  <c r="G110" i="1" l="1"/>
  <c r="I110" i="1" s="1"/>
  <c r="G111" i="1" l="1"/>
  <c r="I111" i="1" s="1"/>
  <c r="J111" i="1" s="1"/>
  <c r="K111" i="1" s="1"/>
  <c r="L111" i="1" s="1"/>
  <c r="M111" i="1" l="1"/>
  <c r="E112" i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G126" i="1" s="1"/>
  <c r="G112" i="1"/>
  <c r="I112" i="1" s="1"/>
  <c r="G113" i="1" l="1"/>
  <c r="I113" i="1" s="1"/>
  <c r="G114" i="1" l="1"/>
  <c r="I114" i="1" s="1"/>
  <c r="G115" i="1" l="1"/>
  <c r="I115" i="1" s="1"/>
  <c r="G116" i="1" l="1"/>
  <c r="I116" i="1" s="1"/>
  <c r="G117" i="1" l="1"/>
  <c r="I117" i="1" s="1"/>
  <c r="G118" i="1" l="1"/>
  <c r="I118" i="1" s="1"/>
  <c r="G119" i="1" l="1"/>
  <c r="I119" i="1" s="1"/>
  <c r="G120" i="1" l="1"/>
  <c r="I120" i="1" s="1"/>
  <c r="G121" i="1" l="1"/>
  <c r="I121" i="1" s="1"/>
  <c r="G122" i="1" l="1"/>
  <c r="I122" i="1" s="1"/>
  <c r="G123" i="1" l="1"/>
  <c r="I123" i="1" s="1"/>
  <c r="G124" i="1" l="1"/>
  <c r="I124" i="1" s="1"/>
  <c r="G125" i="1" l="1"/>
  <c r="I125" i="1" s="1"/>
  <c r="J125" i="1" s="1"/>
  <c r="K125" i="1" s="1"/>
  <c r="L125" i="1" l="1"/>
  <c r="I126" i="1"/>
  <c r="E126" i="1" l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M125" i="1"/>
  <c r="G127" i="1" l="1"/>
  <c r="I127" i="1" s="1"/>
  <c r="G128" i="1"/>
  <c r="I128" i="1" s="1"/>
  <c r="G129" i="1" l="1"/>
  <c r="I129" i="1" s="1"/>
  <c r="G130" i="1" l="1"/>
  <c r="I130" i="1" s="1"/>
  <c r="G131" i="1" l="1"/>
  <c r="I131" i="1" s="1"/>
  <c r="G132" i="1" l="1"/>
  <c r="I132" i="1" s="1"/>
  <c r="G133" i="1" l="1"/>
  <c r="I133" i="1" s="1"/>
  <c r="G134" i="1" l="1"/>
  <c r="I134" i="1" s="1"/>
  <c r="G135" i="1" l="1"/>
  <c r="I135" i="1" s="1"/>
  <c r="G136" i="1" l="1"/>
  <c r="I136" i="1" s="1"/>
  <c r="G137" i="1" l="1"/>
  <c r="I137" i="1" s="1"/>
  <c r="G138" i="1" l="1"/>
  <c r="I138" i="1" s="1"/>
  <c r="G139" i="1" l="1"/>
  <c r="I139" i="1" s="1"/>
  <c r="J139" i="1" s="1"/>
  <c r="K139" i="1" s="1"/>
  <c r="L139" i="1" l="1"/>
  <c r="K26" i="1"/>
  <c r="K25" i="1" s="1"/>
  <c r="G140" i="1"/>
  <c r="I140" i="1" s="1"/>
  <c r="M139" i="1" l="1"/>
  <c r="L26" i="1"/>
  <c r="E140" i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G141" i="1" l="1"/>
  <c r="I141" i="1" s="1"/>
  <c r="G142" i="1"/>
  <c r="I142" i="1" l="1"/>
  <c r="G143" i="1"/>
  <c r="I143" i="1" s="1"/>
  <c r="G144" i="1" l="1"/>
  <c r="I144" i="1" s="1"/>
  <c r="G145" i="1" l="1"/>
  <c r="I145" i="1" s="1"/>
  <c r="G146" i="1" l="1"/>
  <c r="I146" i="1" s="1"/>
  <c r="G147" i="1" l="1"/>
  <c r="I147" i="1" s="1"/>
  <c r="G148" i="1" l="1"/>
  <c r="I148" i="1" s="1"/>
  <c r="G149" i="1" l="1"/>
  <c r="I149" i="1" s="1"/>
  <c r="G150" i="1" l="1"/>
  <c r="I150" i="1" s="1"/>
  <c r="G151" i="1" l="1"/>
  <c r="I151" i="1" s="1"/>
  <c r="G152" i="1" l="1"/>
  <c r="I152" i="1" s="1"/>
  <c r="G153" i="1" l="1"/>
  <c r="I153" i="1" s="1"/>
  <c r="G154" i="1" l="1"/>
  <c r="I154" i="1" s="1"/>
  <c r="G155" i="1" l="1"/>
  <c r="I155" i="1" s="1"/>
  <c r="G156" i="1" l="1"/>
  <c r="I156" i="1" s="1"/>
  <c r="G157" i="1" l="1"/>
  <c r="I157" i="1" s="1"/>
  <c r="G158" i="1" l="1"/>
  <c r="I158" i="1" s="1"/>
  <c r="G159" i="1" l="1"/>
  <c r="I159" i="1" s="1"/>
  <c r="G160" i="1" l="1"/>
  <c r="I160" i="1" s="1"/>
  <c r="G161" i="1" l="1"/>
  <c r="I161" i="1" s="1"/>
  <c r="G162" i="1" l="1"/>
  <c r="I162" i="1" s="1"/>
  <c r="G163" i="1" l="1"/>
  <c r="I163" i="1" s="1"/>
  <c r="G164" i="1" l="1"/>
  <c r="I164" i="1" s="1"/>
  <c r="G165" i="1" l="1"/>
  <c r="I165" i="1" s="1"/>
  <c r="G166" i="1" l="1"/>
  <c r="I166" i="1" s="1"/>
  <c r="G167" i="1" l="1"/>
  <c r="I167" i="1" s="1"/>
  <c r="G168" i="1" l="1"/>
  <c r="I168" i="1" s="1"/>
  <c r="G169" i="1" l="1"/>
  <c r="I169" i="1" s="1"/>
  <c r="G170" i="1" l="1"/>
  <c r="I170" i="1" s="1"/>
  <c r="G171" i="1" l="1"/>
  <c r="I171" i="1" s="1"/>
  <c r="G172" i="1" l="1"/>
  <c r="I172" i="1" s="1"/>
  <c r="G173" i="1" l="1"/>
  <c r="I173" i="1" s="1"/>
  <c r="G174" i="1" l="1"/>
  <c r="I174" i="1" s="1"/>
  <c r="G175" i="1" l="1"/>
  <c r="I175" i="1" s="1"/>
  <c r="G176" i="1" l="1"/>
  <c r="I176" i="1" s="1"/>
  <c r="G177" i="1" l="1"/>
  <c r="I177" i="1" s="1"/>
  <c r="G178" i="1" l="1"/>
  <c r="I178" i="1" s="1"/>
  <c r="G179" i="1" l="1"/>
  <c r="I179" i="1" s="1"/>
  <c r="G180" i="1" l="1"/>
  <c r="I180" i="1" s="1"/>
  <c r="G181" i="1" l="1"/>
  <c r="I181" i="1" s="1"/>
  <c r="G182" i="1" l="1"/>
  <c r="I182" i="1" s="1"/>
  <c r="G183" i="1" l="1"/>
  <c r="I183" i="1" s="1"/>
  <c r="G184" i="1" l="1"/>
  <c r="I184" i="1" s="1"/>
  <c r="G185" i="1" l="1"/>
  <c r="I185" i="1" s="1"/>
  <c r="G186" i="1" l="1"/>
  <c r="I186" i="1" s="1"/>
  <c r="G187" i="1" l="1"/>
  <c r="I187" i="1" s="1"/>
  <c r="G188" i="1" l="1"/>
  <c r="I188" i="1" s="1"/>
  <c r="G189" i="1" l="1"/>
  <c r="I189" i="1" s="1"/>
  <c r="G190" i="1" l="1"/>
  <c r="I190" i="1" s="1"/>
  <c r="G191" i="1" l="1"/>
  <c r="I191" i="1" s="1"/>
  <c r="G192" i="1" l="1"/>
  <c r="I192" i="1" s="1"/>
  <c r="Q56" i="4" l="1"/>
  <c r="R55" i="4" l="1"/>
  <c r="S55" i="4" s="1"/>
  <c r="S56" i="4" s="1"/>
  <c r="S57" i="4" s="1"/>
  <c r="O56" i="4"/>
  <c r="R56" i="4" l="1"/>
  <c r="O57" i="4" l="1"/>
  <c r="F34" i="8"/>
  <c r="F35" i="8" s="1"/>
  <c r="G35" i="8" s="1"/>
  <c r="D37" i="8" s="1"/>
  <c r="G34" i="8" l="1"/>
  <c r="K34" i="8" l="1"/>
  <c r="H37" i="8"/>
  <c r="F37" i="8"/>
  <c r="E37" i="8" l="1"/>
  <c r="E39" i="8"/>
  <c r="E38" i="8"/>
  <c r="E41" i="8"/>
  <c r="G37" i="8"/>
  <c r="I37" i="8" l="1"/>
  <c r="D38" i="8"/>
  <c r="H38" i="8" s="1"/>
  <c r="F38" i="8" l="1"/>
  <c r="G38" i="8" l="1"/>
  <c r="I38" i="8" l="1"/>
  <c r="D39" i="8"/>
  <c r="H39" i="8" s="1"/>
  <c r="F39" i="8" l="1"/>
  <c r="H41" i="8"/>
  <c r="G39" i="8" l="1"/>
  <c r="F41" i="8"/>
  <c r="I39" i="8" l="1"/>
  <c r="I41" i="8" s="1"/>
  <c r="G41" i="8"/>
  <c r="E42" i="8" s="1"/>
  <c r="D40" i="8"/>
  <c r="H40" i="8" s="1"/>
  <c r="I42" i="8" l="1"/>
  <c r="G40" i="8"/>
  <c r="F40" i="8"/>
  <c r="E40" i="8" s="1"/>
  <c r="I40" i="8" l="1"/>
  <c r="S36" i="8" l="1"/>
  <c r="P37" i="8" s="1"/>
  <c r="U36" i="8" l="1"/>
  <c r="P38" i="8" l="1"/>
  <c r="S39" i="8" l="1"/>
  <c r="R38" i="8"/>
  <c r="U37" i="8"/>
  <c r="O58" i="3" l="1"/>
  <c r="S43" i="3"/>
  <c r="S57" i="3" s="1"/>
  <c r="S58" i="3" s="1"/>
  <c r="R57" i="3" l="1"/>
  <c r="T58" i="6" l="1"/>
  <c r="R57" i="6"/>
  <c r="Q57" i="6" s="1"/>
  <c r="R58" i="6" l="1"/>
  <c r="R59" i="6" s="1"/>
  <c r="Q58" i="6"/>
  <c r="U58" i="6"/>
  <c r="S58" i="6"/>
  <c r="U59" i="6" l="1"/>
  <c r="Q59" i="6"/>
  <c r="T57" i="5" l="1"/>
  <c r="Q57" i="5" l="1"/>
  <c r="U57" i="5"/>
  <c r="S57" i="5"/>
  <c r="U58" i="5" l="1"/>
  <c r="Q58" i="5"/>
  <c r="H48" i="6"/>
  <c r="H47" i="6"/>
  <c r="F47" i="6"/>
  <c r="E47" i="6" s="1"/>
  <c r="G47" i="6" s="1"/>
  <c r="F48" i="6"/>
  <c r="E48" i="6" s="1"/>
  <c r="I47" i="6" l="1"/>
  <c r="G48" i="6"/>
  <c r="I48" i="6" l="1"/>
  <c r="F49" i="6" l="1"/>
  <c r="E49" i="6" s="1"/>
  <c r="H49" i="6"/>
  <c r="G49" i="6" l="1"/>
  <c r="I49" i="6" l="1"/>
  <c r="H50" i="6" l="1"/>
  <c r="F50" i="6"/>
  <c r="E50" i="6" s="1"/>
  <c r="G50" i="6" l="1"/>
  <c r="I50" i="6" l="1"/>
  <c r="H51" i="6" l="1"/>
  <c r="F51" i="6"/>
  <c r="E51" i="6" s="1"/>
  <c r="G51" i="6" l="1"/>
  <c r="I51" i="6" l="1"/>
  <c r="H52" i="6" l="1"/>
  <c r="F52" i="6"/>
  <c r="E52" i="6" s="1"/>
  <c r="G52" i="6" l="1"/>
  <c r="I52" i="6" l="1"/>
  <c r="H53" i="6" l="1"/>
  <c r="F53" i="6"/>
  <c r="E53" i="6" l="1"/>
  <c r="G53" i="6" s="1"/>
  <c r="I53" i="6" s="1"/>
  <c r="H54" i="6"/>
  <c r="F54" i="6"/>
  <c r="E54" i="6" l="1"/>
  <c r="G54" i="6" s="1"/>
  <c r="I54" i="6" s="1"/>
  <c r="H55" i="6"/>
  <c r="F55" i="6"/>
  <c r="E55" i="6" l="1"/>
  <c r="G55" i="6" s="1"/>
  <c r="I55" i="6" s="1"/>
  <c r="H56" i="6"/>
  <c r="F56" i="6"/>
  <c r="E56" i="6" l="1"/>
  <c r="G56" i="6" s="1"/>
  <c r="D57" i="6" l="1"/>
  <c r="F57" i="6" s="1"/>
  <c r="I56" i="6"/>
  <c r="G57" i="6" l="1"/>
  <c r="H57" i="6"/>
  <c r="H58" i="6" s="1"/>
  <c r="F58" i="6" l="1"/>
  <c r="F59" i="6" s="1"/>
  <c r="E57" i="6"/>
  <c r="E58" i="6" s="1"/>
  <c r="G58" i="6"/>
  <c r="I57" i="6"/>
  <c r="I58" i="6" s="1"/>
  <c r="E59" i="6" l="1"/>
  <c r="I59" i="6"/>
  <c r="H45" i="5"/>
  <c r="F45" i="5"/>
  <c r="E45" i="5" s="1"/>
  <c r="G45" i="5" l="1"/>
  <c r="I45" i="5" l="1"/>
  <c r="H46" i="5" l="1"/>
  <c r="F46" i="5"/>
  <c r="E46" i="5" s="1"/>
  <c r="G46" i="5" l="1"/>
  <c r="I46" i="5" l="1"/>
  <c r="F47" i="5" l="1"/>
  <c r="E47" i="5" s="1"/>
  <c r="H47" i="5"/>
  <c r="G47" i="5" l="1"/>
  <c r="I47" i="5" l="1"/>
  <c r="H48" i="5" l="1"/>
  <c r="F48" i="5"/>
  <c r="E48" i="5" s="1"/>
  <c r="G48" i="5" l="1"/>
  <c r="I48" i="5" l="1"/>
  <c r="H49" i="5" l="1"/>
  <c r="F49" i="5"/>
  <c r="E49" i="5" l="1"/>
  <c r="G49" i="5" s="1"/>
  <c r="I49" i="5" s="1"/>
  <c r="H50" i="5"/>
  <c r="F50" i="5"/>
  <c r="E50" i="5" l="1"/>
  <c r="G50" i="5" s="1"/>
  <c r="I50" i="5" s="1"/>
  <c r="H51" i="5"/>
  <c r="F51" i="5"/>
  <c r="E51" i="5" l="1"/>
  <c r="G51" i="5" s="1"/>
  <c r="I51" i="5" s="1"/>
  <c r="H52" i="5"/>
  <c r="F52" i="5"/>
  <c r="E52" i="5" l="1"/>
  <c r="G52" i="5" s="1"/>
  <c r="I52" i="5" s="1"/>
  <c r="H53" i="5"/>
  <c r="F53" i="5"/>
  <c r="E53" i="5" l="1"/>
  <c r="G53" i="5" s="1"/>
  <c r="I53" i="5" s="1"/>
  <c r="F54" i="5"/>
  <c r="H54" i="5"/>
  <c r="E54" i="5" l="1"/>
  <c r="G54" i="5" s="1"/>
  <c r="I54" i="5" s="1"/>
  <c r="H55" i="5"/>
  <c r="F55" i="5"/>
  <c r="E55" i="5" l="1"/>
  <c r="G55" i="5" s="1"/>
  <c r="I55" i="5" l="1"/>
  <c r="D56" i="5"/>
  <c r="G56" i="5" s="1"/>
  <c r="H56" i="5" l="1"/>
  <c r="H57" i="5" s="1"/>
  <c r="F56" i="5"/>
  <c r="F57" i="5" s="1"/>
  <c r="I56" i="5"/>
  <c r="I57" i="5" s="1"/>
  <c r="G57" i="5"/>
  <c r="E56" i="5"/>
  <c r="E57" i="5" s="1"/>
  <c r="I58" i="5" l="1"/>
  <c r="E58" i="5"/>
  <c r="F58" i="5"/>
  <c r="AC43" i="5" l="1"/>
  <c r="AB38" i="5"/>
  <c r="AC38" i="5" s="1"/>
  <c r="AG35" i="5" l="1"/>
  <c r="AF35" i="5"/>
  <c r="AA40" i="5"/>
  <c r="AD44" i="5" l="1"/>
  <c r="AE44" i="5" l="1"/>
  <c r="AB45" i="5" l="1"/>
  <c r="AD45" i="5" l="1"/>
  <c r="AF45" i="5"/>
  <c r="AC45" i="5" l="1"/>
  <c r="AE45" i="5" l="1"/>
  <c r="AG45" i="5" l="1"/>
  <c r="AB46" i="5"/>
  <c r="AF46" i="5" l="1"/>
  <c r="AD46" i="5"/>
  <c r="AC46" i="5" l="1"/>
  <c r="AE46" i="5" l="1"/>
  <c r="AG46" i="5" l="1"/>
  <c r="AB47" i="5"/>
  <c r="AD47" i="5" l="1"/>
  <c r="AF47" i="5"/>
  <c r="AC47" i="5" l="1"/>
  <c r="AE47" i="5" l="1"/>
  <c r="AG47" i="5" l="1"/>
  <c r="AB48" i="5"/>
  <c r="AD48" i="5" l="1"/>
  <c r="AC48" i="5" s="1"/>
  <c r="AE48" i="5" s="1"/>
  <c r="AB49" i="5" s="1"/>
  <c r="AF48" i="5"/>
  <c r="AB50" i="5" l="1"/>
  <c r="AD49" i="5"/>
  <c r="AC49" i="5" s="1"/>
  <c r="AE49" i="5" s="1"/>
  <c r="AF49" i="5"/>
  <c r="AG48" i="5"/>
  <c r="AG49" i="5" l="1"/>
  <c r="AD50" i="5"/>
  <c r="AC50" i="5" s="1"/>
  <c r="AE50" i="5" s="1"/>
  <c r="AF50" i="5"/>
  <c r="AG50" i="5" l="1"/>
  <c r="AB51" i="5"/>
  <c r="AF51" i="5" l="1"/>
  <c r="AD51" i="5"/>
  <c r="AC51" i="5" s="1"/>
  <c r="AE51" i="5" s="1"/>
  <c r="AB52" i="5"/>
  <c r="AF52" i="5" l="1"/>
  <c r="AD52" i="5"/>
  <c r="AC52" i="5" s="1"/>
  <c r="AE52" i="5" s="1"/>
  <c r="AG51" i="5"/>
  <c r="AG52" i="5" l="1"/>
  <c r="AB53" i="5"/>
  <c r="AD53" i="5" l="1"/>
  <c r="AC53" i="5" s="1"/>
  <c r="AE53" i="5" s="1"/>
  <c r="AG53" i="5" s="1"/>
  <c r="AF53" i="5"/>
  <c r="AB54" i="5" l="1"/>
  <c r="AF54" i="5" l="1"/>
  <c r="AD54" i="5"/>
  <c r="AC54" i="5" s="1"/>
  <c r="AE54" i="5" s="1"/>
  <c r="AG54" i="5" s="1"/>
  <c r="AB55" i="5" l="1"/>
  <c r="AD55" i="5" l="1"/>
  <c r="AC55" i="5" s="1"/>
  <c r="AE55" i="5" s="1"/>
  <c r="AF55" i="5"/>
  <c r="AG55" i="5" l="1"/>
  <c r="AB56" i="5"/>
  <c r="AF56" i="5" l="1"/>
  <c r="AF57" i="5" s="1"/>
  <c r="AD56" i="5"/>
  <c r="AE56" i="5"/>
  <c r="AG56" i="5" l="1"/>
  <c r="AG57" i="5" s="1"/>
  <c r="AG58" i="5" s="1"/>
  <c r="AE57" i="5"/>
  <c r="AD57" i="5"/>
  <c r="AC56" i="5"/>
  <c r="AC57" i="5" s="1"/>
  <c r="AC58" i="5" l="1"/>
  <c r="AD58" i="5"/>
  <c r="D44" i="4"/>
  <c r="F44" i="4" s="1"/>
  <c r="H44" i="4" l="1"/>
  <c r="D45" i="4"/>
  <c r="I43" i="4"/>
  <c r="G56" i="4"/>
  <c r="F45" i="4" l="1"/>
  <c r="H45" i="4"/>
  <c r="I45" i="4" s="1"/>
  <c r="D46" i="4"/>
  <c r="I44" i="4"/>
  <c r="F46" i="4" l="1"/>
  <c r="H46" i="4"/>
  <c r="I46" i="4" s="1"/>
  <c r="D47" i="4"/>
  <c r="D48" i="4" l="1"/>
  <c r="F47" i="4"/>
  <c r="H47" i="4"/>
  <c r="I47" i="4" s="1"/>
  <c r="H48" i="4" l="1"/>
  <c r="I48" i="4" s="1"/>
  <c r="F48" i="4"/>
  <c r="D49" i="4"/>
  <c r="H49" i="4" l="1"/>
  <c r="I49" i="4" s="1"/>
  <c r="D50" i="4"/>
  <c r="F49" i="4"/>
  <c r="D51" i="4" l="1"/>
  <c r="F50" i="4"/>
  <c r="H50" i="4"/>
  <c r="I50" i="4" s="1"/>
  <c r="F51" i="4" l="1"/>
  <c r="H51" i="4"/>
  <c r="I51" i="4" s="1"/>
  <c r="D52" i="4"/>
  <c r="D53" i="4" l="1"/>
  <c r="H52" i="4"/>
  <c r="I52" i="4" s="1"/>
  <c r="F52" i="4"/>
  <c r="F53" i="4" l="1"/>
  <c r="H53" i="4"/>
  <c r="I53" i="4" s="1"/>
  <c r="D54" i="4"/>
  <c r="H54" i="4" l="1"/>
  <c r="I54" i="4" s="1"/>
  <c r="F54" i="4"/>
  <c r="D55" i="4"/>
  <c r="H55" i="4" l="1"/>
  <c r="F55" i="4"/>
  <c r="E55" i="4" l="1"/>
  <c r="E56" i="4" s="1"/>
  <c r="F56" i="4"/>
  <c r="I55" i="4"/>
  <c r="I56" i="4" s="1"/>
  <c r="I57" i="4" s="1"/>
  <c r="H56" i="4"/>
  <c r="F57" i="4" l="1"/>
  <c r="E5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</author>
  </authors>
  <commentList>
    <comment ref="AD38" authorId="0" shapeId="0" xr:uid="{79DB3405-3D8A-46EA-BE70-5A46911347E0}">
      <text>
        <r>
          <rPr>
            <b/>
            <sz val="9"/>
            <color indexed="81"/>
            <rFont val="Tahoma"/>
            <family val="2"/>
            <charset val="204"/>
          </rPr>
          <t>Home:</t>
        </r>
        <r>
          <rPr>
            <sz val="9"/>
            <color indexed="81"/>
            <rFont val="Tahoma"/>
            <family val="2"/>
            <charset val="204"/>
          </rPr>
          <t xml:space="preserve">
уточнить у разработчика по коду так ли начисляются штрафы у ЛС</t>
        </r>
      </text>
    </comment>
  </commentList>
</comments>
</file>

<file path=xl/sharedStrings.xml><?xml version="1.0" encoding="utf-8"?>
<sst xmlns="http://schemas.openxmlformats.org/spreadsheetml/2006/main" count="1424" uniqueCount="121">
  <si>
    <t>Стартовые условия</t>
  </si>
  <si>
    <t>сумма</t>
  </si>
  <si>
    <t>ставка в день</t>
  </si>
  <si>
    <t>периодов</t>
  </si>
  <si>
    <t>дней в периоде</t>
  </si>
  <si>
    <t>как принято у нас</t>
  </si>
  <si>
    <t>базовая ставка для периода</t>
  </si>
  <si>
    <t>коэф. Аннуитета</t>
  </si>
  <si>
    <t>платеж по аннуитету</t>
  </si>
  <si>
    <t>скидка</t>
  </si>
  <si>
    <t xml:space="preserve"> Нулевка</t>
  </si>
  <si>
    <t>Личная скидка</t>
  </si>
  <si>
    <t>ПромокодЫ</t>
  </si>
  <si>
    <t>Промокод после 14</t>
  </si>
  <si>
    <t>стартовый</t>
  </si>
  <si>
    <t>№ платежа</t>
  </si>
  <si>
    <t>остаток ОД</t>
  </si>
  <si>
    <t>Платеж_базовый</t>
  </si>
  <si>
    <t>гашение %_базовое</t>
  </si>
  <si>
    <t>Гашение ОД</t>
  </si>
  <si>
    <t>Итого</t>
  </si>
  <si>
    <t>ставка базовая</t>
  </si>
  <si>
    <t>ставка скидочная</t>
  </si>
  <si>
    <t>Раскладывааем аннуитет</t>
  </si>
  <si>
    <t>что идет в расчет</t>
  </si>
  <si>
    <t>Балансы</t>
  </si>
  <si>
    <t>дата</t>
  </si>
  <si>
    <t>день платежа</t>
  </si>
  <si>
    <t>остаток тела</t>
  </si>
  <si>
    <t>номер периода</t>
  </si>
  <si>
    <t>текущие %</t>
  </si>
  <si>
    <t>ТЕЛО ИЗ Графика</t>
  </si>
  <si>
    <t>накоплено текущих процентов</t>
  </si>
  <si>
    <t>поступила оплата</t>
  </si>
  <si>
    <t>погашено %</t>
  </si>
  <si>
    <t>погашено тело</t>
  </si>
  <si>
    <t>Частиное погашение</t>
  </si>
  <si>
    <t>номер графика</t>
  </si>
  <si>
    <t>Стартовый</t>
  </si>
  <si>
    <t>Частичный 1</t>
  </si>
  <si>
    <t>Продление 1</t>
  </si>
  <si>
    <t>% скидочные</t>
  </si>
  <si>
    <t>Платеж скидочный</t>
  </si>
  <si>
    <t>состояние баланса на 10 день</t>
  </si>
  <si>
    <t>день</t>
  </si>
  <si>
    <t>Тело</t>
  </si>
  <si>
    <t>%_базовый</t>
  </si>
  <si>
    <t>Тело платежа</t>
  </si>
  <si>
    <t>%_Скидочный</t>
  </si>
  <si>
    <t>Полный долг по займу</t>
  </si>
  <si>
    <t>Раскладываем аннуитет</t>
  </si>
  <si>
    <t>Вариант А</t>
  </si>
  <si>
    <t>Сумма частички</t>
  </si>
  <si>
    <t>суммы не хватает для погашения тела, гасятся только начисленные текущие %</t>
  </si>
  <si>
    <t>вместе дают сумму платежа стартового графика</t>
  </si>
  <si>
    <t>Вариант Б</t>
  </si>
  <si>
    <t>меньше суммы платежа стартового графика, так как часть тела была погашена раньше</t>
  </si>
  <si>
    <t>суммы не хватает для погашения ближайщего платежа, гасятся  начисленные текущие % + столько тела насколько хватает</t>
  </si>
  <si>
    <t>Дата ближайщего платежа остается на месте</t>
  </si>
  <si>
    <t>Вариант В</t>
  </si>
  <si>
    <t>в этих платежах ничего не происходит</t>
  </si>
  <si>
    <t>Дата ближайщего платежа остается = текущая + 14 дней</t>
  </si>
  <si>
    <t>Последний платеж на месте</t>
  </si>
  <si>
    <t xml:space="preserve">Перестроение графика на новое тело </t>
  </si>
  <si>
    <t>Срок до следующего платежа меньше 14 дней</t>
  </si>
  <si>
    <t>Ожидаемый платеж по графику</t>
  </si>
  <si>
    <t>Новый платеж в новом раскладе аннуитета. Количество платежей остается тем же. Можно использоваться предыдущий коэфициент</t>
  </si>
  <si>
    <t>% в график берутся за фактическое кол-во дней.</t>
  </si>
  <si>
    <t>суммы хватает для погашения ближайщего платежа и погашение части тела в следующих платежах. Перестроение графика за ближайщим платежом. Если сумма достаточна для полного погашения график вырождается в 0</t>
  </si>
  <si>
    <t>Текущий долг по ближащему платежу со скидкой</t>
  </si>
  <si>
    <t>Сумма ЧДП</t>
  </si>
  <si>
    <t>Остаток ОД</t>
  </si>
  <si>
    <t>Гашение %_базовое</t>
  </si>
  <si>
    <t>Платеж базовый</t>
  </si>
  <si>
    <t>состояние баланса на 20 день</t>
  </si>
  <si>
    <t>Текущий долг по займу</t>
  </si>
  <si>
    <t>День займа</t>
  </si>
  <si>
    <t>Дата</t>
  </si>
  <si>
    <t>Первоначальный график</t>
  </si>
  <si>
    <t>Активное</t>
  </si>
  <si>
    <t>Просроч</t>
  </si>
  <si>
    <t>Платеж</t>
  </si>
  <si>
    <t>Проценты</t>
  </si>
  <si>
    <t>ставка в день
базовая / скидочная</t>
  </si>
  <si>
    <t>Новый аннуитет</t>
  </si>
  <si>
    <t>% со скидкой</t>
  </si>
  <si>
    <t>Платеж с учетом скидки</t>
  </si>
  <si>
    <t>Штрафы</t>
  </si>
  <si>
    <t>Сумма продления</t>
  </si>
  <si>
    <t>+1</t>
  </si>
  <si>
    <t>Сумма платежа</t>
  </si>
  <si>
    <t>льготная ставка на продление</t>
  </si>
  <si>
    <t>состояние баланса на 137 день</t>
  </si>
  <si>
    <t>Остаток % после ЛП</t>
  </si>
  <si>
    <t>состояние баланса на 40 день</t>
  </si>
  <si>
    <t xml:space="preserve">%_базовый (с 28 по 40 день) </t>
  </si>
  <si>
    <t xml:space="preserve">%_базовый на 10 день  </t>
  </si>
  <si>
    <t>состояние баланса на 56 день</t>
  </si>
  <si>
    <t xml:space="preserve">%_базовый (с 28 по 56 день) </t>
  </si>
  <si>
    <t>Платеж = размер для полного на 40 день</t>
  </si>
  <si>
    <t>Текущий долг по просроченному платежу и ближащему платежу со скидкой</t>
  </si>
  <si>
    <t>Полный долг по просроченному платежу и ближащему платежу без  скидки</t>
  </si>
  <si>
    <t xml:space="preserve">платеж </t>
  </si>
  <si>
    <t>в день процент</t>
  </si>
  <si>
    <t>Платеж = размер для полного погаш.на 10 день</t>
  </si>
  <si>
    <t>Платеж = размер для полного погаш.на 40 день</t>
  </si>
  <si>
    <t>платеж клиента уменьшает 
1) проценты в текущем  платеже по графику
2) далее остатком уменьшается тело по займу. 
На новый остаток тела новый график (так же тип графика = легкий старт)</t>
  </si>
  <si>
    <t>15000&gt;10800</t>
  </si>
  <si>
    <t>8000&gt;3240</t>
  </si>
  <si>
    <t>10000&gt;7355,04</t>
  </si>
  <si>
    <t>22000&gt;7560</t>
  </si>
  <si>
    <t>20000&gt;15120</t>
  </si>
  <si>
    <t>задолженность=</t>
  </si>
  <si>
    <t xml:space="preserve">Задолженность </t>
  </si>
  <si>
    <t>5000&gt; 2700</t>
  </si>
  <si>
    <t>2000&lt;2700</t>
  </si>
  <si>
    <t>2070=2700</t>
  </si>
  <si>
    <t>3240=3240</t>
  </si>
  <si>
    <t>3000&lt;3240</t>
  </si>
  <si>
    <t>Платеж для выхода из просрочки и доср.погаш-ния на 40 день  =</t>
  </si>
  <si>
    <t xml:space="preserve">Платеж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</si>
</sst>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₽&quot;;[Red]\-#,##0.00\ &quot;₽&quot;"/>
    <numFmt numFmtId="43" formatCode="_-* #,##0.00\ _₽_-;\-* #,##0.00\ _₽_-;_-* &quot;-&quot;??\ _₽_-;_-@_-"/>
    <numFmt numFmtId="164" formatCode="_-* #,##0.00_-;\-* #,##0.00_-;_-* &quot;-&quot;??_-;_-@_-"/>
    <numFmt numFmtId="165" formatCode="_-* #,##0_-;\-* #,##0_-;_-* &quot;-&quot;??_-;_-@_-"/>
    <numFmt numFmtId="166" formatCode="0.0000"/>
    <numFmt numFmtId="167" formatCode="_-* #,##0.0\ _₽_-;\-* #,##0.0\ _₽_-;_-* &quot;-&quot;??\ _₽_-;_-@_-"/>
    <numFmt numFmtId="168" formatCode="_-* #,##0.0_-;\-* #,##0.0_-;_-* &quot;-&quot;??_-;_-@_-"/>
    <numFmt numFmtId="169" formatCode="_-* #,##0.00\ _₽_-;\-* #,##0.00\ _₽_-;_-* &quot;-&quot;????\ _₽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2" fillId="2" borderId="0" xfId="0" applyFont="1" applyFill="1"/>
    <xf numFmtId="165" fontId="0" fillId="0" borderId="0" xfId="1" applyNumberFormat="1" applyFont="1"/>
    <xf numFmtId="10" fontId="0" fillId="0" borderId="0" xfId="0" applyNumberFormat="1"/>
    <xf numFmtId="166" fontId="0" fillId="0" borderId="0" xfId="0" applyNumberFormat="1"/>
    <xf numFmtId="165" fontId="0" fillId="0" borderId="0" xfId="1" applyNumberFormat="1" applyFont="1" applyAlignment="1"/>
    <xf numFmtId="9" fontId="0" fillId="3" borderId="0" xfId="2" applyFont="1" applyFill="1" applyAlignment="1"/>
    <xf numFmtId="9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4" borderId="8" xfId="0" applyNumberForma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Fill="1" applyBorder="1" applyAlignment="1">
      <alignment horizontal="center" vertical="center" wrapText="1"/>
    </xf>
    <xf numFmtId="9" fontId="0" fillId="0" borderId="0" xfId="2" applyFont="1"/>
    <xf numFmtId="10" fontId="0" fillId="0" borderId="0" xfId="2" applyNumberFormat="1" applyFont="1"/>
    <xf numFmtId="167" fontId="0" fillId="0" borderId="0" xfId="0" applyNumberFormat="1"/>
    <xf numFmtId="167" fontId="0" fillId="0" borderId="0" xfId="1" applyNumberFormat="1" applyFont="1"/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65" fontId="0" fillId="4" borderId="7" xfId="1" applyNumberFormat="1" applyFont="1" applyFill="1" applyBorder="1"/>
    <xf numFmtId="165" fontId="0" fillId="4" borderId="9" xfId="1" applyNumberFormat="1" applyFont="1" applyFill="1" applyBorder="1"/>
    <xf numFmtId="9" fontId="0" fillId="0" borderId="11" xfId="2" applyNumberFormat="1" applyFont="1" applyFill="1" applyBorder="1" applyAlignment="1">
      <alignment horizontal="center" vertical="center"/>
    </xf>
    <xf numFmtId="9" fontId="0" fillId="0" borderId="10" xfId="2" applyNumberFormat="1" applyFont="1" applyFill="1" applyBorder="1"/>
    <xf numFmtId="165" fontId="0" fillId="0" borderId="9" xfId="1" applyNumberFormat="1" applyFont="1" applyBorder="1" applyAlignment="1">
      <alignment horizontal="center" vertical="center"/>
    </xf>
    <xf numFmtId="0" fontId="0" fillId="6" borderId="0" xfId="0" applyFill="1"/>
    <xf numFmtId="0" fontId="0" fillId="9" borderId="0" xfId="0" applyFill="1"/>
    <xf numFmtId="0" fontId="0" fillId="5" borderId="0" xfId="0" applyFill="1" applyAlignment="1">
      <alignment horizontal="left" vertical="top"/>
    </xf>
    <xf numFmtId="0" fontId="0" fillId="3" borderId="12" xfId="0" applyFill="1" applyBorder="1" applyAlignment="1">
      <alignment vertical="center" wrapText="1"/>
    </xf>
    <xf numFmtId="9" fontId="0" fillId="10" borderId="0" xfId="0" applyNumberFormat="1" applyFill="1"/>
    <xf numFmtId="10" fontId="0" fillId="10" borderId="0" xfId="0" applyNumberFormat="1" applyFill="1"/>
    <xf numFmtId="0" fontId="0" fillId="11" borderId="0" xfId="0" applyFill="1"/>
    <xf numFmtId="168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4" xfId="0" applyNumberFormat="1" applyBorder="1"/>
    <xf numFmtId="164" fontId="0" fillId="0" borderId="6" xfId="0" applyNumberFormat="1" applyBorder="1"/>
    <xf numFmtId="164" fontId="0" fillId="0" borderId="4" xfId="1" applyNumberFormat="1" applyFont="1" applyBorder="1"/>
    <xf numFmtId="164" fontId="0" fillId="0" borderId="6" xfId="1" applyNumberFormat="1" applyFont="1" applyBorder="1"/>
    <xf numFmtId="164" fontId="0" fillId="4" borderId="8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4" fontId="0" fillId="4" borderId="7" xfId="1" applyNumberFormat="1" applyFont="1" applyFill="1" applyBorder="1"/>
    <xf numFmtId="164" fontId="0" fillId="4" borderId="9" xfId="1" applyNumberFormat="1" applyFont="1" applyFill="1" applyBorder="1"/>
    <xf numFmtId="164" fontId="0" fillId="0" borderId="0" xfId="1" applyNumberFormat="1" applyFont="1" applyAlignment="1"/>
    <xf numFmtId="164" fontId="0" fillId="9" borderId="5" xfId="1" applyNumberFormat="1" applyFont="1" applyFill="1" applyBorder="1" applyAlignment="1">
      <alignment horizontal="center" vertical="center"/>
    </xf>
    <xf numFmtId="164" fontId="0" fillId="9" borderId="6" xfId="1" applyNumberFormat="1" applyFont="1" applyFill="1" applyBorder="1" applyAlignment="1">
      <alignment horizontal="center" vertical="center"/>
    </xf>
    <xf numFmtId="164" fontId="0" fillId="5" borderId="5" xfId="1" applyNumberFormat="1" applyFont="1" applyFill="1" applyBorder="1" applyAlignment="1">
      <alignment horizontal="center" vertical="center"/>
    </xf>
    <xf numFmtId="164" fontId="0" fillId="5" borderId="6" xfId="1" applyNumberFormat="1" applyFont="1" applyFill="1" applyBorder="1" applyAlignment="1">
      <alignment horizontal="center" vertical="center"/>
    </xf>
    <xf numFmtId="164" fontId="0" fillId="7" borderId="5" xfId="1" applyNumberFormat="1" applyFont="1" applyFill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9" fontId="0" fillId="5" borderId="0" xfId="0" applyNumberFormat="1" applyFill="1"/>
    <xf numFmtId="14" fontId="0" fillId="0" borderId="0" xfId="0" applyNumberFormat="1"/>
    <xf numFmtId="0" fontId="0" fillId="0" borderId="0" xfId="0" applyFill="1"/>
    <xf numFmtId="0" fontId="0" fillId="0" borderId="12" xfId="0" applyFill="1" applyBorder="1" applyAlignment="1">
      <alignment wrapText="1"/>
    </xf>
    <xf numFmtId="9" fontId="0" fillId="0" borderId="0" xfId="2" applyFont="1" applyFill="1" applyAlignment="1"/>
    <xf numFmtId="0" fontId="0" fillId="12" borderId="0" xfId="0" applyFill="1" applyAlignment="1">
      <alignment wrapText="1"/>
    </xf>
    <xf numFmtId="0" fontId="0" fillId="13" borderId="0" xfId="0" applyFill="1"/>
    <xf numFmtId="164" fontId="0" fillId="4" borderId="14" xfId="0" applyNumberForma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0" fontId="0" fillId="13" borderId="0" xfId="0" applyFill="1" applyAlignment="1">
      <alignment wrapText="1"/>
    </xf>
    <xf numFmtId="43" fontId="0" fillId="0" borderId="0" xfId="0" applyNumberFormat="1"/>
    <xf numFmtId="164" fontId="0" fillId="0" borderId="6" xfId="1" applyNumberFormat="1" applyFont="1" applyBorder="1" applyAlignment="1">
      <alignment horizontal="right" vertical="center"/>
    </xf>
    <xf numFmtId="8" fontId="0" fillId="0" borderId="0" xfId="0" applyNumberFormat="1"/>
    <xf numFmtId="164" fontId="0" fillId="13" borderId="6" xfId="1" applyNumberFormat="1" applyFont="1" applyFill="1" applyBorder="1" applyAlignment="1">
      <alignment horizontal="center" vertical="center"/>
    </xf>
    <xf numFmtId="164" fontId="0" fillId="13" borderId="5" xfId="1" applyNumberFormat="1" applyFon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14" borderId="5" xfId="1" applyNumberFormat="1" applyFont="1" applyFill="1" applyBorder="1" applyAlignment="1">
      <alignment horizontal="center" vertical="center"/>
    </xf>
    <xf numFmtId="164" fontId="0" fillId="14" borderId="6" xfId="1" applyNumberFormat="1" applyFont="1" applyFill="1" applyBorder="1" applyAlignment="1">
      <alignment horizontal="center" vertical="center"/>
    </xf>
    <xf numFmtId="164" fontId="0" fillId="0" borderId="8" xfId="1" applyNumberFormat="1" applyFont="1" applyBorder="1"/>
    <xf numFmtId="0" fontId="0" fillId="14" borderId="0" xfId="0" applyFill="1"/>
    <xf numFmtId="0" fontId="0" fillId="15" borderId="0" xfId="0" applyFill="1"/>
    <xf numFmtId="164" fontId="0" fillId="14" borderId="8" xfId="1" applyNumberFormat="1" applyFont="1" applyFill="1" applyBorder="1" applyAlignment="1">
      <alignment horizontal="center" vertical="center"/>
    </xf>
    <xf numFmtId="43" fontId="0" fillId="9" borderId="0" xfId="0" applyNumberFormat="1" applyFill="1"/>
    <xf numFmtId="43" fontId="0" fillId="12" borderId="0" xfId="0" applyNumberFormat="1" applyFill="1"/>
    <xf numFmtId="164" fontId="0" fillId="14" borderId="6" xfId="1" applyNumberFormat="1" applyFont="1" applyFill="1" applyBorder="1" applyAlignment="1">
      <alignment horizontal="right" vertical="center"/>
    </xf>
    <xf numFmtId="164" fontId="0" fillId="0" borderId="9" xfId="1" applyNumberFormat="1" applyFont="1" applyBorder="1" applyAlignment="1">
      <alignment horizontal="center" vertical="center"/>
    </xf>
    <xf numFmtId="9" fontId="0" fillId="0" borderId="0" xfId="2" applyFont="1" applyFill="1"/>
    <xf numFmtId="9" fontId="0" fillId="0" borderId="0" xfId="0" applyNumberFormat="1" applyFill="1"/>
    <xf numFmtId="10" fontId="0" fillId="0" borderId="0" xfId="2" applyNumberFormat="1" applyFont="1" applyFill="1"/>
    <xf numFmtId="164" fontId="0" fillId="14" borderId="4" xfId="0" applyNumberFormat="1" applyFill="1" applyBorder="1"/>
    <xf numFmtId="164" fontId="0" fillId="14" borderId="6" xfId="0" applyNumberFormat="1" applyFill="1" applyBorder="1"/>
    <xf numFmtId="164" fontId="0" fillId="14" borderId="4" xfId="1" applyNumberFormat="1" applyFont="1" applyFill="1" applyBorder="1"/>
    <xf numFmtId="164" fontId="0" fillId="14" borderId="6" xfId="1" applyNumberFormat="1" applyFont="1" applyFill="1" applyBorder="1"/>
    <xf numFmtId="10" fontId="0" fillId="2" borderId="0" xfId="0" applyNumberFormat="1" applyFill="1"/>
    <xf numFmtId="164" fontId="0" fillId="5" borderId="4" xfId="1" applyNumberFormat="1" applyFont="1" applyFill="1" applyBorder="1"/>
    <xf numFmtId="164" fontId="0" fillId="4" borderId="8" xfId="0" applyNumberForma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0" borderId="17" xfId="1" applyNumberFormat="1" applyFont="1" applyBorder="1" applyAlignment="1">
      <alignment horizontal="center" vertical="center"/>
    </xf>
    <xf numFmtId="164" fontId="0" fillId="0" borderId="18" xfId="1" applyNumberFormat="1" applyFont="1" applyBorder="1" applyAlignment="1">
      <alignment horizontal="center" vertical="center"/>
    </xf>
    <xf numFmtId="164" fontId="0" fillId="5" borderId="16" xfId="1" applyNumberFormat="1" applyFont="1" applyFill="1" applyBorder="1"/>
    <xf numFmtId="164" fontId="0" fillId="0" borderId="18" xfId="1" applyNumberFormat="1" applyFont="1" applyBorder="1"/>
    <xf numFmtId="49" fontId="0" fillId="0" borderId="16" xfId="0" applyNumberFormat="1" applyBorder="1" applyAlignment="1">
      <alignment horizontal="right" vertical="center"/>
    </xf>
    <xf numFmtId="168" fontId="0" fillId="0" borderId="16" xfId="0" applyNumberFormat="1" applyBorder="1" applyAlignment="1">
      <alignment horizontal="center" vertical="center"/>
    </xf>
    <xf numFmtId="164" fontId="0" fillId="0" borderId="18" xfId="0" applyNumberFormat="1" applyBorder="1"/>
    <xf numFmtId="164" fontId="0" fillId="9" borderId="0" xfId="0" applyNumberFormat="1" applyFill="1"/>
    <xf numFmtId="164" fontId="0" fillId="8" borderId="0" xfId="0" applyNumberFormat="1" applyFill="1"/>
    <xf numFmtId="164" fontId="0" fillId="0" borderId="4" xfId="0" applyNumberFormat="1" applyBorder="1" applyAlignment="1">
      <alignment horizontal="right" vertical="center"/>
    </xf>
    <xf numFmtId="0" fontId="0" fillId="8" borderId="0" xfId="0" applyFill="1"/>
    <xf numFmtId="164" fontId="0" fillId="8" borderId="5" xfId="1" applyNumberFormat="1" applyFont="1" applyFill="1" applyBorder="1" applyAlignment="1">
      <alignment horizontal="center" vertical="center"/>
    </xf>
    <xf numFmtId="164" fontId="0" fillId="8" borderId="6" xfId="1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right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0" borderId="0" xfId="1" applyFont="1"/>
    <xf numFmtId="164" fontId="0" fillId="0" borderId="4" xfId="0" applyNumberFormat="1" applyFill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164" fontId="0" fillId="0" borderId="6" xfId="1" applyNumberFormat="1" applyFont="1" applyFill="1" applyBorder="1" applyAlignment="1">
      <alignment horizontal="center" vertical="center"/>
    </xf>
    <xf numFmtId="164" fontId="0" fillId="5" borderId="6" xfId="0" applyNumberFormat="1" applyFill="1" applyBorder="1"/>
    <xf numFmtId="164" fontId="0" fillId="5" borderId="6" xfId="1" applyNumberFormat="1" applyFont="1" applyFill="1" applyBorder="1" applyAlignment="1">
      <alignment horizontal="right" vertical="center"/>
    </xf>
    <xf numFmtId="164" fontId="0" fillId="5" borderId="6" xfId="1" applyNumberFormat="1" applyFont="1" applyFill="1" applyBorder="1"/>
    <xf numFmtId="164" fontId="0" fillId="0" borderId="4" xfId="1" applyNumberFormat="1" applyFont="1" applyFill="1" applyBorder="1"/>
    <xf numFmtId="164" fontId="0" fillId="4" borderId="8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0" fontId="4" fillId="0" borderId="0" xfId="0" applyFont="1"/>
    <xf numFmtId="9" fontId="0" fillId="0" borderId="0" xfId="2" applyNumberFormat="1" applyFont="1" applyFill="1" applyBorder="1"/>
    <xf numFmtId="164" fontId="5" fillId="0" borderId="6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164" fontId="0" fillId="16" borderId="5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Fill="1" applyBorder="1"/>
    <xf numFmtId="164" fontId="0" fillId="4" borderId="8" xfId="0" applyNumberFormat="1" applyFill="1" applyBorder="1" applyAlignment="1">
      <alignment horizontal="center" vertical="center"/>
    </xf>
    <xf numFmtId="164" fontId="0" fillId="6" borderId="8" xfId="1" applyNumberFormat="1" applyFont="1" applyFill="1" applyBorder="1" applyAlignment="1">
      <alignment horizontal="center" vertical="center"/>
    </xf>
    <xf numFmtId="164" fontId="0" fillId="0" borderId="0" xfId="0" applyNumberFormat="1" applyFill="1"/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4" borderId="7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wrapText="1"/>
    </xf>
    <xf numFmtId="0" fontId="0" fillId="11" borderId="0" xfId="0" applyFill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8" borderId="0" xfId="0" applyFill="1" applyAlignment="1">
      <alignment horizontal="center" wrapText="1"/>
    </xf>
    <xf numFmtId="0" fontId="0" fillId="5" borderId="12" xfId="0" applyFill="1" applyBorder="1" applyAlignment="1">
      <alignment horizontal="center" vertical="center" wrapText="1"/>
    </xf>
    <xf numFmtId="164" fontId="0" fillId="4" borderId="14" xfId="0" applyNumberForma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left" wrapText="1"/>
    </xf>
    <xf numFmtId="0" fontId="0" fillId="16" borderId="1" xfId="0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colors>
    <mruColors>
      <color rgb="FFFFB9B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BDF1-4E7B-4F28-9EAC-26B09643B75B}">
  <dimension ref="A2:AF192"/>
  <sheetViews>
    <sheetView workbookViewId="0">
      <pane ySplit="27" topLeftCell="A28" activePane="bottomLeft" state="frozen"/>
      <selection pane="bottomLeft" activeCell="J35" sqref="J35"/>
    </sheetView>
  </sheetViews>
  <sheetFormatPr defaultRowHeight="15" outlineLevelRow="1" x14ac:dyDescent="0.25"/>
  <cols>
    <col min="1" max="1" width="17.28515625" customWidth="1"/>
    <col min="2" max="9" width="12.7109375" customWidth="1"/>
    <col min="10" max="10" width="19.7109375" customWidth="1"/>
    <col min="11" max="23" width="12.7109375" customWidth="1"/>
  </cols>
  <sheetData>
    <row r="2" spans="1:32" x14ac:dyDescent="0.25">
      <c r="A2" s="8" t="s">
        <v>0</v>
      </c>
      <c r="G2" s="8" t="s">
        <v>12</v>
      </c>
    </row>
    <row r="3" spans="1:32" hidden="1" outlineLevel="1" x14ac:dyDescent="0.25">
      <c r="A3" t="s">
        <v>1</v>
      </c>
      <c r="C3" s="2">
        <v>20000</v>
      </c>
      <c r="G3" t="s">
        <v>10</v>
      </c>
      <c r="H3" s="19">
        <v>0</v>
      </c>
      <c r="M3" t="s">
        <v>1</v>
      </c>
      <c r="O3" s="2">
        <f>E42</f>
        <v>17600</v>
      </c>
      <c r="X3" t="s">
        <v>1</v>
      </c>
      <c r="Z3" s="2">
        <f>E51</f>
        <v>16306</v>
      </c>
    </row>
    <row r="4" spans="1:32" hidden="1" outlineLevel="1" x14ac:dyDescent="0.25">
      <c r="A4" t="s">
        <v>2</v>
      </c>
      <c r="C4" s="3">
        <v>0.01</v>
      </c>
      <c r="D4" s="3"/>
      <c r="G4" t="s">
        <v>11</v>
      </c>
      <c r="H4" s="7">
        <v>0.25</v>
      </c>
      <c r="M4" t="s">
        <v>2</v>
      </c>
      <c r="O4" s="3">
        <v>0.01</v>
      </c>
      <c r="X4" t="s">
        <v>2</v>
      </c>
      <c r="Z4" s="3">
        <v>0.01</v>
      </c>
    </row>
    <row r="5" spans="1:32" hidden="1" outlineLevel="1" x14ac:dyDescent="0.25">
      <c r="A5" t="s">
        <v>3</v>
      </c>
      <c r="C5">
        <v>6</v>
      </c>
      <c r="G5" t="s">
        <v>13</v>
      </c>
      <c r="H5" s="7">
        <v>0</v>
      </c>
      <c r="M5" t="s">
        <v>3</v>
      </c>
      <c r="O5">
        <v>5</v>
      </c>
      <c r="X5" t="s">
        <v>3</v>
      </c>
      <c r="Z5">
        <v>5</v>
      </c>
    </row>
    <row r="6" spans="1:32" ht="81.75" hidden="1" customHeight="1" outlineLevel="1" x14ac:dyDescent="0.25">
      <c r="A6" t="s">
        <v>4</v>
      </c>
      <c r="C6">
        <v>14</v>
      </c>
      <c r="D6">
        <f>C6*C5</f>
        <v>84</v>
      </c>
      <c r="M6" t="s">
        <v>4</v>
      </c>
      <c r="O6">
        <v>14</v>
      </c>
      <c r="X6" t="s">
        <v>4</v>
      </c>
      <c r="Z6">
        <v>14</v>
      </c>
    </row>
    <row r="7" spans="1:32" hidden="1" outlineLevel="1" x14ac:dyDescent="0.25"/>
    <row r="8" spans="1:32" hidden="1" outlineLevel="1" x14ac:dyDescent="0.25"/>
    <row r="9" spans="1:32" hidden="1" outlineLevel="1" x14ac:dyDescent="0.25">
      <c r="A9" t="s">
        <v>5</v>
      </c>
      <c r="M9" t="s">
        <v>5</v>
      </c>
      <c r="X9" t="s">
        <v>5</v>
      </c>
    </row>
    <row r="10" spans="1:32" hidden="1" outlineLevel="1" x14ac:dyDescent="0.25">
      <c r="A10" t="s">
        <v>6</v>
      </c>
      <c r="B10" s="4">
        <f>C6*C4</f>
        <v>0.14000000000000001</v>
      </c>
      <c r="C10">
        <f>B10*(1-C13)</f>
        <v>0.10500000000000001</v>
      </c>
      <c r="M10" t="s">
        <v>6</v>
      </c>
      <c r="N10" s="4">
        <f>O6*O4</f>
        <v>0.14000000000000001</v>
      </c>
      <c r="O10">
        <f>N10*(1-O13)</f>
        <v>0.10500000000000001</v>
      </c>
      <c r="X10" t="s">
        <v>6</v>
      </c>
      <c r="Y10" s="4">
        <f>Z6*Z4</f>
        <v>0.14000000000000001</v>
      </c>
      <c r="Z10">
        <f>Y10*(1-Z13)</f>
        <v>0.10500000000000001</v>
      </c>
    </row>
    <row r="11" spans="1:32" hidden="1" outlineLevel="1" x14ac:dyDescent="0.25">
      <c r="A11" t="s">
        <v>7</v>
      </c>
      <c r="B11" s="4">
        <f>B10*(1+B10)^$C$5/((1+B10)^$C$5-1)</f>
        <v>0.25715749565782348</v>
      </c>
      <c r="C11" s="4">
        <f>C10*(1+C10)^$C$5/((1+C10)^$C$5-1)</f>
        <v>0.23298187462838585</v>
      </c>
      <c r="D11" s="4"/>
      <c r="E11" s="3">
        <v>8.0000000000000002E-3</v>
      </c>
      <c r="M11" t="s">
        <v>7</v>
      </c>
      <c r="N11" s="4">
        <f>N10*(1+N10)^$O$5/((1+N10)^$O$5-1)</f>
        <v>0.29128354649104332</v>
      </c>
      <c r="O11" s="4">
        <f>O10*(1+O10)^$O$5/((1+O10)^$O$5-1)</f>
        <v>0.26717549538216268</v>
      </c>
      <c r="X11" t="s">
        <v>7</v>
      </c>
      <c r="Y11" s="4">
        <f>Y10*(1+Y10)^$Z$5/((1+Y10)^$Z$5-1)</f>
        <v>0.29128354649104332</v>
      </c>
      <c r="Z11" s="4">
        <f>Z10*(1+Z10)^$O$5/((1+Z10)^$O$5-1)</f>
        <v>0.26717549538216268</v>
      </c>
    </row>
    <row r="12" spans="1:32" hidden="1" outlineLevel="1" x14ac:dyDescent="0.25">
      <c r="A12" t="s">
        <v>8</v>
      </c>
      <c r="B12" s="5">
        <f>$B$11*C3</f>
        <v>5143.1499131564697</v>
      </c>
      <c r="C12" s="5">
        <f>C3*C11</f>
        <v>4659.6374925677173</v>
      </c>
      <c r="D12" s="5"/>
      <c r="M12" t="s">
        <v>8</v>
      </c>
      <c r="N12" s="5">
        <f>O3*N11</f>
        <v>5126.5904182423628</v>
      </c>
      <c r="O12" s="5">
        <f>O3*O11</f>
        <v>4702.2887187260631</v>
      </c>
      <c r="X12" t="s">
        <v>8</v>
      </c>
      <c r="Y12" s="5">
        <f>Z3*Y11</f>
        <v>4749.6695090829526</v>
      </c>
      <c r="Z12" s="5">
        <f>Z3*Z11</f>
        <v>4356.5636277015446</v>
      </c>
    </row>
    <row r="13" spans="1:32" hidden="1" outlineLevel="1" x14ac:dyDescent="0.25">
      <c r="A13" t="s">
        <v>9</v>
      </c>
      <c r="C13" s="6">
        <v>0.25</v>
      </c>
      <c r="M13" t="s">
        <v>9</v>
      </c>
      <c r="O13" s="6">
        <v>0.25</v>
      </c>
      <c r="X13" t="s">
        <v>9</v>
      </c>
      <c r="Z13" s="6">
        <v>0.25</v>
      </c>
    </row>
    <row r="14" spans="1:32" collapsed="1" x14ac:dyDescent="0.25"/>
    <row r="15" spans="1:32" ht="16.5" thickBot="1" x14ac:dyDescent="0.3">
      <c r="C15" s="1" t="s">
        <v>23</v>
      </c>
      <c r="N15" s="1" t="s">
        <v>23</v>
      </c>
      <c r="Y15" s="1" t="s">
        <v>23</v>
      </c>
    </row>
    <row r="16" spans="1:32" ht="45" x14ac:dyDescent="0.25">
      <c r="B16" s="9" t="s">
        <v>15</v>
      </c>
      <c r="C16" s="10" t="s">
        <v>16</v>
      </c>
      <c r="D16" s="10" t="s">
        <v>17</v>
      </c>
      <c r="E16" s="10" t="s">
        <v>18</v>
      </c>
      <c r="F16" s="11" t="s">
        <v>19</v>
      </c>
      <c r="H16" s="18" t="s">
        <v>21</v>
      </c>
      <c r="I16" s="18" t="s">
        <v>22</v>
      </c>
      <c r="J16" s="18" t="s">
        <v>24</v>
      </c>
      <c r="M16" s="9" t="s">
        <v>15</v>
      </c>
      <c r="N16" s="10" t="s">
        <v>16</v>
      </c>
      <c r="O16" s="10" t="s">
        <v>17</v>
      </c>
      <c r="P16" s="10" t="s">
        <v>18</v>
      </c>
      <c r="Q16" s="11" t="s">
        <v>19</v>
      </c>
      <c r="S16" s="18" t="s">
        <v>21</v>
      </c>
      <c r="T16" s="18" t="s">
        <v>22</v>
      </c>
      <c r="U16" s="18" t="s">
        <v>24</v>
      </c>
      <c r="X16" s="9" t="s">
        <v>15</v>
      </c>
      <c r="Y16" s="10" t="s">
        <v>16</v>
      </c>
      <c r="Z16" s="10" t="s">
        <v>17</v>
      </c>
      <c r="AA16" s="10" t="s">
        <v>18</v>
      </c>
      <c r="AB16" s="11" t="s">
        <v>19</v>
      </c>
      <c r="AD16" s="18" t="s">
        <v>21</v>
      </c>
      <c r="AE16" s="18" t="s">
        <v>22</v>
      </c>
      <c r="AF16" s="18" t="s">
        <v>24</v>
      </c>
    </row>
    <row r="17" spans="1:32" x14ac:dyDescent="0.25">
      <c r="A17" t="s">
        <v>14</v>
      </c>
      <c r="B17" s="12">
        <v>0</v>
      </c>
      <c r="C17" s="13">
        <f>C3</f>
        <v>20000</v>
      </c>
      <c r="D17" s="13"/>
      <c r="E17" s="13"/>
      <c r="F17" s="14"/>
      <c r="H17" s="20">
        <f>IF(H3=0,C4,C4*(1-H3))</f>
        <v>0.01</v>
      </c>
      <c r="I17" s="3">
        <f>$C$4</f>
        <v>0.01</v>
      </c>
      <c r="J17" s="3">
        <f t="shared" ref="J17:J23" si="0">MIN(H17,I17)</f>
        <v>0.01</v>
      </c>
      <c r="L17" t="s">
        <v>39</v>
      </c>
      <c r="M17" s="12">
        <v>0</v>
      </c>
      <c r="N17" s="13">
        <f>O3</f>
        <v>17600</v>
      </c>
      <c r="O17" s="13"/>
      <c r="P17" s="13"/>
      <c r="Q17" s="14"/>
      <c r="S17" s="20">
        <f>IF(S3=0,N4,N4*(1-S3))</f>
        <v>0</v>
      </c>
      <c r="T17" s="3">
        <f>$C$4</f>
        <v>0.01</v>
      </c>
      <c r="U17" s="3">
        <f>MIN(S17,T17)</f>
        <v>0</v>
      </c>
      <c r="W17" t="s">
        <v>40</v>
      </c>
      <c r="X17" s="12">
        <v>0</v>
      </c>
      <c r="Y17" s="13"/>
      <c r="Z17" s="13"/>
      <c r="AA17" s="13"/>
      <c r="AB17" s="14"/>
      <c r="AD17" s="20">
        <f>IF(AD3=0,Y4,Y4*(1-AD3))</f>
        <v>0</v>
      </c>
      <c r="AE17" s="3">
        <f>$C$4</f>
        <v>0.01</v>
      </c>
      <c r="AF17" s="3">
        <f>MIN(AD17,AE17)</f>
        <v>0</v>
      </c>
    </row>
    <row r="18" spans="1:32" x14ac:dyDescent="0.25">
      <c r="A18" t="s">
        <v>14</v>
      </c>
      <c r="B18" s="12">
        <v>1</v>
      </c>
      <c r="C18" s="13">
        <f t="shared" ref="C18:C23" si="1">C17-F18</f>
        <v>17656.850086843529</v>
      </c>
      <c r="D18" s="13">
        <f t="shared" ref="D18:D23" si="2">$B$12</f>
        <v>5143.1499131564697</v>
      </c>
      <c r="E18" s="13">
        <f t="shared" ref="E18:E23" si="3">C17*$C$4*$C$6</f>
        <v>2800</v>
      </c>
      <c r="F18" s="14">
        <f t="shared" ref="F18:F23" si="4">D18-E18</f>
        <v>2343.1499131564697</v>
      </c>
      <c r="H18" s="20">
        <f t="shared" ref="H18:H23" si="5">$C$4</f>
        <v>0.01</v>
      </c>
      <c r="I18" s="3">
        <f t="shared" ref="I18:I23" si="6">IF($H$5&gt;$H$4,$I17*(1-$H$5),$I17*(1-$H$4))</f>
        <v>7.4999999999999997E-3</v>
      </c>
      <c r="J18" s="3">
        <f t="shared" si="0"/>
        <v>7.4999999999999997E-3</v>
      </c>
      <c r="L18" t="s">
        <v>39</v>
      </c>
      <c r="M18" s="12">
        <v>1</v>
      </c>
      <c r="N18" s="13">
        <f t="shared" ref="N18:N23" si="7">N17-Q18</f>
        <v>14937.409581757638</v>
      </c>
      <c r="O18" s="13">
        <f>$N$12</f>
        <v>5126.5904182423628</v>
      </c>
      <c r="P18" s="13">
        <f t="shared" ref="P18:P23" si="8">N17*$C$4*$C$6</f>
        <v>2464</v>
      </c>
      <c r="Q18" s="14">
        <f t="shared" ref="Q18:Q23" si="9">O18-P18</f>
        <v>2662.5904182423628</v>
      </c>
      <c r="S18" s="20">
        <f t="shared" ref="S18:S23" si="10">$C$4</f>
        <v>0.01</v>
      </c>
      <c r="T18" s="3">
        <f t="shared" ref="T18:T23" si="11">IF($H$5&gt;$H$4,$I17*(1-$H$5),$I17*(1-$H$4))</f>
        <v>7.4999999999999997E-3</v>
      </c>
      <c r="U18" s="3">
        <f t="shared" ref="U18:U23" si="12">MIN(S18,T18)</f>
        <v>7.4999999999999997E-3</v>
      </c>
      <c r="W18" t="s">
        <v>40</v>
      </c>
      <c r="X18" s="12">
        <v>1</v>
      </c>
      <c r="Y18" s="13">
        <f>Y19</f>
        <v>16306</v>
      </c>
      <c r="Z18" s="13"/>
      <c r="AA18" s="13">
        <f t="shared" ref="AA18:AA23" si="13">Y17*$C$4*$C$6</f>
        <v>0</v>
      </c>
      <c r="AB18" s="14">
        <f t="shared" ref="AB18:AB23" si="14">Z18-AA18</f>
        <v>0</v>
      </c>
      <c r="AD18" s="20">
        <f t="shared" ref="AD18:AD24" si="15">$C$4</f>
        <v>0.01</v>
      </c>
      <c r="AE18" s="3">
        <f t="shared" ref="AE18:AE23" si="16">IF($H$5&gt;$H$4,$I17*(1-$H$5),$I17*(1-$H$4))</f>
        <v>7.4999999999999997E-3</v>
      </c>
      <c r="AF18" s="3">
        <f t="shared" ref="AF18:AF23" si="17">MIN(AD18,AE18)</f>
        <v>7.4999999999999997E-3</v>
      </c>
    </row>
    <row r="19" spans="1:32" x14ac:dyDescent="0.25">
      <c r="A19" t="s">
        <v>14</v>
      </c>
      <c r="B19" s="12">
        <v>2</v>
      </c>
      <c r="C19" s="13">
        <f t="shared" si="1"/>
        <v>14985.659185845154</v>
      </c>
      <c r="D19" s="13">
        <f t="shared" si="2"/>
        <v>5143.1499131564697</v>
      </c>
      <c r="E19" s="13">
        <f t="shared" si="3"/>
        <v>2471.9590121580941</v>
      </c>
      <c r="F19" s="14">
        <f t="shared" si="4"/>
        <v>2671.1909009983756</v>
      </c>
      <c r="H19" s="20">
        <f t="shared" si="5"/>
        <v>0.01</v>
      </c>
      <c r="I19" s="3">
        <f t="shared" si="6"/>
        <v>5.6249999999999998E-3</v>
      </c>
      <c r="J19" s="3">
        <f t="shared" si="0"/>
        <v>5.6249999999999998E-3</v>
      </c>
      <c r="L19" t="s">
        <v>39</v>
      </c>
      <c r="M19" s="12">
        <v>2</v>
      </c>
      <c r="N19" s="13">
        <f t="shared" si="7"/>
        <v>11902.056504961345</v>
      </c>
      <c r="O19" s="13">
        <f>$N$12</f>
        <v>5126.5904182423628</v>
      </c>
      <c r="P19" s="13">
        <f t="shared" si="8"/>
        <v>2091.2373414460694</v>
      </c>
      <c r="Q19" s="14">
        <f t="shared" si="9"/>
        <v>3035.3530767962934</v>
      </c>
      <c r="S19" s="20">
        <f t="shared" si="10"/>
        <v>0.01</v>
      </c>
      <c r="T19" s="3">
        <f t="shared" si="11"/>
        <v>5.6249999999999998E-3</v>
      </c>
      <c r="U19" s="3">
        <f t="shared" si="12"/>
        <v>5.6249999999999998E-3</v>
      </c>
      <c r="W19" t="s">
        <v>40</v>
      </c>
      <c r="X19" s="12">
        <v>2</v>
      </c>
      <c r="Y19" s="13">
        <f>Z3</f>
        <v>16306</v>
      </c>
      <c r="Z19" s="13"/>
      <c r="AA19" s="13"/>
      <c r="AB19" s="14">
        <f t="shared" si="14"/>
        <v>0</v>
      </c>
      <c r="AD19" s="20">
        <f t="shared" si="15"/>
        <v>0.01</v>
      </c>
      <c r="AE19" s="3">
        <f t="shared" si="16"/>
        <v>5.6249999999999998E-3</v>
      </c>
      <c r="AF19" s="3">
        <f t="shared" si="17"/>
        <v>5.6249999999999998E-3</v>
      </c>
    </row>
    <row r="20" spans="1:32" x14ac:dyDescent="0.25">
      <c r="A20" t="s">
        <v>14</v>
      </c>
      <c r="B20" s="12">
        <v>3</v>
      </c>
      <c r="C20" s="13">
        <f t="shared" si="1"/>
        <v>11940.501558707005</v>
      </c>
      <c r="D20" s="13">
        <f t="shared" si="2"/>
        <v>5143.1499131564697</v>
      </c>
      <c r="E20" s="13">
        <f t="shared" si="3"/>
        <v>2097.9922860183215</v>
      </c>
      <c r="F20" s="14">
        <f t="shared" si="4"/>
        <v>3045.1576271381482</v>
      </c>
      <c r="H20" s="20">
        <f t="shared" si="5"/>
        <v>0.01</v>
      </c>
      <c r="I20" s="3">
        <f t="shared" si="6"/>
        <v>4.2187500000000003E-3</v>
      </c>
      <c r="J20" s="3">
        <f t="shared" si="0"/>
        <v>4.2187500000000003E-3</v>
      </c>
      <c r="L20" t="s">
        <v>39</v>
      </c>
      <c r="M20" s="12">
        <v>3</v>
      </c>
      <c r="N20" s="13">
        <f t="shared" si="7"/>
        <v>8441.7539974135707</v>
      </c>
      <c r="O20" s="13">
        <f>$N$12</f>
        <v>5126.5904182423628</v>
      </c>
      <c r="P20" s="13">
        <f t="shared" si="8"/>
        <v>1666.2879106945884</v>
      </c>
      <c r="Q20" s="14">
        <f t="shared" si="9"/>
        <v>3460.3025075477744</v>
      </c>
      <c r="S20" s="20">
        <f t="shared" si="10"/>
        <v>0.01</v>
      </c>
      <c r="T20" s="3">
        <f t="shared" si="11"/>
        <v>4.2187500000000003E-3</v>
      </c>
      <c r="U20" s="3">
        <f t="shared" si="12"/>
        <v>4.2187500000000003E-3</v>
      </c>
      <c r="W20" t="s">
        <v>40</v>
      </c>
      <c r="X20" s="12">
        <v>3</v>
      </c>
      <c r="Y20" s="13">
        <f>Y19-AB20</f>
        <v>13839.170490917048</v>
      </c>
      <c r="Z20" s="13">
        <f>$Y$12</f>
        <v>4749.6695090829526</v>
      </c>
      <c r="AA20" s="13">
        <f t="shared" si="13"/>
        <v>2282.84</v>
      </c>
      <c r="AB20" s="14">
        <f t="shared" si="14"/>
        <v>2466.8295090829524</v>
      </c>
      <c r="AD20" s="20">
        <f t="shared" si="15"/>
        <v>0.01</v>
      </c>
      <c r="AE20" s="3">
        <f t="shared" si="16"/>
        <v>4.2187500000000003E-3</v>
      </c>
      <c r="AF20" s="3">
        <f t="shared" si="17"/>
        <v>4.2187500000000003E-3</v>
      </c>
    </row>
    <row r="21" spans="1:32" x14ac:dyDescent="0.25">
      <c r="A21" t="s">
        <v>14</v>
      </c>
      <c r="B21" s="12">
        <v>4</v>
      </c>
      <c r="C21" s="13">
        <f t="shared" si="1"/>
        <v>8469.0218637695161</v>
      </c>
      <c r="D21" s="13">
        <f t="shared" si="2"/>
        <v>5143.1499131564697</v>
      </c>
      <c r="E21" s="13">
        <f t="shared" si="3"/>
        <v>1671.6702182189808</v>
      </c>
      <c r="F21" s="14">
        <f t="shared" si="4"/>
        <v>3471.4796949374886</v>
      </c>
      <c r="H21" s="20">
        <f t="shared" si="5"/>
        <v>0.01</v>
      </c>
      <c r="I21" s="3">
        <f t="shared" si="6"/>
        <v>3.1640625000000002E-3</v>
      </c>
      <c r="J21" s="3">
        <f t="shared" si="0"/>
        <v>3.1640625000000002E-3</v>
      </c>
      <c r="L21" t="s">
        <v>39</v>
      </c>
      <c r="M21" s="12">
        <v>4</v>
      </c>
      <c r="N21" s="13">
        <f t="shared" si="7"/>
        <v>4497.0091388091078</v>
      </c>
      <c r="O21" s="13">
        <f>$N$12</f>
        <v>5126.5904182423628</v>
      </c>
      <c r="P21" s="13">
        <f t="shared" si="8"/>
        <v>1181.8455596378999</v>
      </c>
      <c r="Q21" s="14">
        <f t="shared" si="9"/>
        <v>3944.7448586044629</v>
      </c>
      <c r="S21" s="20">
        <f t="shared" si="10"/>
        <v>0.01</v>
      </c>
      <c r="T21" s="3">
        <f t="shared" si="11"/>
        <v>3.1640625000000002E-3</v>
      </c>
      <c r="U21" s="3">
        <f t="shared" si="12"/>
        <v>3.1640625000000002E-3</v>
      </c>
      <c r="W21" t="s">
        <v>40</v>
      </c>
      <c r="X21" s="12">
        <v>4</v>
      </c>
      <c r="Y21" s="13">
        <f>Y20-AB21</f>
        <v>11026.984850562481</v>
      </c>
      <c r="Z21" s="13">
        <f>$Y$12</f>
        <v>4749.6695090829526</v>
      </c>
      <c r="AA21" s="13">
        <f t="shared" si="13"/>
        <v>1937.4838687283866</v>
      </c>
      <c r="AB21" s="14">
        <f t="shared" si="14"/>
        <v>2812.1856403545662</v>
      </c>
      <c r="AD21" s="20">
        <f t="shared" si="15"/>
        <v>0.01</v>
      </c>
      <c r="AE21" s="3">
        <f t="shared" si="16"/>
        <v>3.1640625000000002E-3</v>
      </c>
      <c r="AF21" s="3">
        <f t="shared" si="17"/>
        <v>3.1640625000000002E-3</v>
      </c>
    </row>
    <row r="22" spans="1:32" x14ac:dyDescent="0.25">
      <c r="A22" t="s">
        <v>14</v>
      </c>
      <c r="B22" s="12">
        <v>5</v>
      </c>
      <c r="C22" s="13">
        <f t="shared" si="1"/>
        <v>4511.5350115407791</v>
      </c>
      <c r="D22" s="13">
        <f t="shared" si="2"/>
        <v>5143.1499131564697</v>
      </c>
      <c r="E22" s="13">
        <f t="shared" si="3"/>
        <v>1185.6630609277324</v>
      </c>
      <c r="F22" s="14">
        <f t="shared" si="4"/>
        <v>3957.486852228737</v>
      </c>
      <c r="H22" s="20">
        <f t="shared" si="5"/>
        <v>0.01</v>
      </c>
      <c r="I22" s="3">
        <f t="shared" si="6"/>
        <v>2.3730468750000002E-3</v>
      </c>
      <c r="J22" s="3">
        <f t="shared" si="0"/>
        <v>2.3730468750000002E-3</v>
      </c>
      <c r="L22" t="s">
        <v>39</v>
      </c>
      <c r="M22" s="12">
        <v>5</v>
      </c>
      <c r="N22" s="13">
        <f t="shared" si="7"/>
        <v>2.0008883439004421E-11</v>
      </c>
      <c r="O22" s="13">
        <f>$N$12</f>
        <v>5126.5904182423628</v>
      </c>
      <c r="P22" s="13">
        <f t="shared" si="8"/>
        <v>629.58127943327509</v>
      </c>
      <c r="Q22" s="14">
        <f t="shared" si="9"/>
        <v>4497.0091388090877</v>
      </c>
      <c r="S22" s="20">
        <f t="shared" si="10"/>
        <v>0.01</v>
      </c>
      <c r="T22" s="3">
        <f t="shared" si="11"/>
        <v>2.3730468750000002E-3</v>
      </c>
      <c r="U22" s="3">
        <f t="shared" si="12"/>
        <v>2.3730468750000002E-3</v>
      </c>
      <c r="W22" t="s">
        <v>40</v>
      </c>
      <c r="X22" s="12">
        <v>5</v>
      </c>
      <c r="Y22" s="13">
        <f>Y21-AB22</f>
        <v>7821.0932205582758</v>
      </c>
      <c r="Z22" s="13">
        <f>$Y$12</f>
        <v>4749.6695090829526</v>
      </c>
      <c r="AA22" s="13">
        <f t="shared" si="13"/>
        <v>1543.7778790787474</v>
      </c>
      <c r="AB22" s="14">
        <f t="shared" si="14"/>
        <v>3205.8916300042051</v>
      </c>
      <c r="AD22" s="20">
        <f t="shared" si="15"/>
        <v>0.01</v>
      </c>
      <c r="AE22" s="3">
        <f t="shared" si="16"/>
        <v>2.3730468750000002E-3</v>
      </c>
      <c r="AF22" s="3">
        <f t="shared" si="17"/>
        <v>2.3730468750000002E-3</v>
      </c>
    </row>
    <row r="23" spans="1:32" x14ac:dyDescent="0.25">
      <c r="A23" t="s">
        <v>14</v>
      </c>
      <c r="B23" s="12">
        <v>6</v>
      </c>
      <c r="C23" s="13">
        <f t="shared" si="1"/>
        <v>1.8189894035458565E-11</v>
      </c>
      <c r="D23" s="13">
        <f t="shared" si="2"/>
        <v>5143.1499131564697</v>
      </c>
      <c r="E23" s="13">
        <f t="shared" si="3"/>
        <v>631.61490161570907</v>
      </c>
      <c r="F23" s="14">
        <f t="shared" si="4"/>
        <v>4511.5350115407609</v>
      </c>
      <c r="H23" s="20">
        <f t="shared" si="5"/>
        <v>0.01</v>
      </c>
      <c r="I23" s="3">
        <f t="shared" si="6"/>
        <v>1.7797851562500002E-3</v>
      </c>
      <c r="J23" s="3">
        <f t="shared" si="0"/>
        <v>1.7797851562500002E-3</v>
      </c>
      <c r="L23" t="s">
        <v>39</v>
      </c>
      <c r="M23" s="12">
        <v>6</v>
      </c>
      <c r="N23" s="13">
        <f t="shared" si="7"/>
        <v>2.2810127120465039E-11</v>
      </c>
      <c r="O23" s="13">
        <v>0</v>
      </c>
      <c r="P23" s="13">
        <f t="shared" si="8"/>
        <v>2.801243681460619E-12</v>
      </c>
      <c r="Q23" s="14">
        <f t="shared" si="9"/>
        <v>-2.801243681460619E-12</v>
      </c>
      <c r="S23" s="20">
        <f t="shared" si="10"/>
        <v>0.01</v>
      </c>
      <c r="T23" s="3">
        <f t="shared" si="11"/>
        <v>1.7797851562500002E-3</v>
      </c>
      <c r="U23" s="3">
        <f t="shared" si="12"/>
        <v>1.7797851562500002E-3</v>
      </c>
      <c r="W23" t="s">
        <v>40</v>
      </c>
      <c r="X23" s="12">
        <v>6</v>
      </c>
      <c r="Y23" s="13">
        <f>Y22-AB23</f>
        <v>4166.3767623534823</v>
      </c>
      <c r="Z23" s="13">
        <f>$Y$12</f>
        <v>4749.6695090829526</v>
      </c>
      <c r="AA23" s="13">
        <f t="shared" si="13"/>
        <v>1094.9530508781586</v>
      </c>
      <c r="AB23" s="14">
        <f t="shared" si="14"/>
        <v>3654.716458204794</v>
      </c>
      <c r="AD23" s="20">
        <f t="shared" si="15"/>
        <v>0.01</v>
      </c>
      <c r="AE23" s="3">
        <f t="shared" si="16"/>
        <v>1.7797851562500002E-3</v>
      </c>
      <c r="AF23" s="3">
        <f t="shared" si="17"/>
        <v>1.7797851562500002E-3</v>
      </c>
    </row>
    <row r="24" spans="1:32" ht="15.75" thickBot="1" x14ac:dyDescent="0.3">
      <c r="B24" s="133" t="s">
        <v>20</v>
      </c>
      <c r="C24" s="134"/>
      <c r="D24" s="15">
        <f>SUM(D17:D23)</f>
        <v>30858.89947893882</v>
      </c>
      <c r="E24" s="15">
        <f>SUM(E17:E23)</f>
        <v>10858.899478938838</v>
      </c>
      <c r="F24" s="16">
        <f>SUM(F17:F23)</f>
        <v>19999.999999999978</v>
      </c>
      <c r="M24" s="133" t="s">
        <v>20</v>
      </c>
      <c r="N24" s="134"/>
      <c r="O24" s="15">
        <f>SUM(O17:O23)</f>
        <v>25632.952091211813</v>
      </c>
      <c r="P24" s="15">
        <f>SUM(P17:P23)</f>
        <v>8032.9520912118351</v>
      </c>
      <c r="Q24" s="16">
        <f>SUM(Q17:Q23)</f>
        <v>17599.999999999978</v>
      </c>
      <c r="W24" t="s">
        <v>40</v>
      </c>
      <c r="X24" s="12">
        <v>7</v>
      </c>
      <c r="Y24" s="13">
        <f>Y23-AB24</f>
        <v>1.7280399333685637E-11</v>
      </c>
      <c r="Z24" s="13">
        <f>$Y$12</f>
        <v>4749.6695090829526</v>
      </c>
      <c r="AA24" s="13">
        <f>Y23*$C$4*$C$6</f>
        <v>583.29274672948759</v>
      </c>
      <c r="AB24" s="14">
        <f>Z24-AA24</f>
        <v>4166.376762353465</v>
      </c>
      <c r="AD24" s="20">
        <f t="shared" si="15"/>
        <v>0.01</v>
      </c>
      <c r="AE24" s="3">
        <f>IF($H$5&gt;$H$4,$I23*(1-$H$5),$I23*(1-$H$4))</f>
        <v>1.3348388671875003E-3</v>
      </c>
      <c r="AF24" s="3">
        <f>MIN(AD24,AE24)</f>
        <v>1.3348388671875003E-3</v>
      </c>
    </row>
    <row r="25" spans="1:32" x14ac:dyDescent="0.25">
      <c r="K25" s="19">
        <f>K26/C17</f>
        <v>0.38981172830543154</v>
      </c>
    </row>
    <row r="26" spans="1:32" ht="15.75" thickBot="1" x14ac:dyDescent="0.3">
      <c r="A26" t="s">
        <v>25</v>
      </c>
      <c r="K26" s="21">
        <f>SUM(K28:K192)</f>
        <v>7796.234566108631</v>
      </c>
      <c r="L26" s="21">
        <f>SUM(L28:L192)</f>
        <v>19999.999999999982</v>
      </c>
      <c r="X26" s="133" t="s">
        <v>20</v>
      </c>
      <c r="Y26" s="134"/>
      <c r="Z26" s="15">
        <f>SUM(Z17:Z24)</f>
        <v>23748.347545414763</v>
      </c>
      <c r="AA26" s="15">
        <f>SUM(AA17:AA24)</f>
        <v>7442.3475454147801</v>
      </c>
      <c r="AB26" s="15">
        <f>SUM(AB17:AB24)</f>
        <v>16305.999999999982</v>
      </c>
    </row>
    <row r="27" spans="1:32" ht="45" x14ac:dyDescent="0.25">
      <c r="A27" s="23" t="s">
        <v>26</v>
      </c>
      <c r="B27" s="23" t="s">
        <v>37</v>
      </c>
      <c r="C27" s="23" t="s">
        <v>29</v>
      </c>
      <c r="D27" s="23" t="s">
        <v>27</v>
      </c>
      <c r="E27" s="23" t="s">
        <v>28</v>
      </c>
      <c r="F27" s="23" t="s">
        <v>2</v>
      </c>
      <c r="G27" s="23" t="s">
        <v>30</v>
      </c>
      <c r="H27" s="23" t="s">
        <v>31</v>
      </c>
      <c r="I27" s="23" t="s">
        <v>32</v>
      </c>
      <c r="J27" s="23" t="s">
        <v>33</v>
      </c>
      <c r="K27" s="23" t="s">
        <v>34</v>
      </c>
      <c r="L27" s="23" t="s">
        <v>35</v>
      </c>
      <c r="M27" s="23" t="s">
        <v>36</v>
      </c>
    </row>
    <row r="28" spans="1:32" x14ac:dyDescent="0.25">
      <c r="A28">
        <v>0</v>
      </c>
      <c r="B28" t="s">
        <v>38</v>
      </c>
      <c r="C28">
        <f>IF(B28=B27,INT((A28-1)/$C$6),-1)</f>
        <v>-1</v>
      </c>
      <c r="D28">
        <f>IF(A28=(C28-1)*$C$6,1,0)</f>
        <v>0</v>
      </c>
      <c r="E28" s="17">
        <f>$C$3</f>
        <v>20000</v>
      </c>
      <c r="F28" s="20">
        <f t="shared" ref="F28:F41" si="18">IFERROR(SUMIF($B$17:$B$23,C28,$J$17:$J$23),0)</f>
        <v>0</v>
      </c>
      <c r="G28" s="21">
        <f>E28*F28</f>
        <v>0</v>
      </c>
      <c r="H28" s="22">
        <f t="shared" ref="H28:H41" si="19">IFERROR(SUMIF($B$17:$B$23,C28+1,$F$17:$F$23),0)</f>
        <v>0</v>
      </c>
      <c r="I28" s="21"/>
      <c r="J28" s="21"/>
      <c r="K28" s="21"/>
      <c r="L28" s="21"/>
      <c r="M28" s="21">
        <f>IF(L28&gt;H28,L28-H28,0)</f>
        <v>0</v>
      </c>
    </row>
    <row r="29" spans="1:32" x14ac:dyDescent="0.25">
      <c r="A29">
        <f>A28+1</f>
        <v>1</v>
      </c>
      <c r="B29" t="s">
        <v>38</v>
      </c>
      <c r="C29">
        <f>IF(B29=B28,IF(INT((A29)/$C$6)&gt;C28+1,INT((A29)/$C$6),C28+1))</f>
        <v>0</v>
      </c>
      <c r="D29">
        <f>IF(C29=C30,0,1)</f>
        <v>0</v>
      </c>
      <c r="E29" s="17">
        <f>E28-L28</f>
        <v>20000</v>
      </c>
      <c r="F29" s="20">
        <f t="shared" si="18"/>
        <v>0.01</v>
      </c>
      <c r="G29" s="22">
        <f>E28*F29</f>
        <v>200</v>
      </c>
      <c r="H29" s="22">
        <f t="shared" si="19"/>
        <v>2343.1499131564697</v>
      </c>
      <c r="I29" s="22">
        <f>SUM($G$29:G29)-SUM($K$28:K28)</f>
        <v>200</v>
      </c>
      <c r="J29" s="22"/>
      <c r="K29" s="22">
        <f>IF(J29&gt;0,IF(J29&gt;I29,I29,J29),0)</f>
        <v>0</v>
      </c>
      <c r="L29" s="22">
        <f>IF(J29&gt;0,IF(J29&gt;K29,J29-K29,0),0)</f>
        <v>0</v>
      </c>
      <c r="M29" s="22">
        <f t="shared" ref="M29:M44" si="20">IF(L29&gt;H29,L29-H29,0)</f>
        <v>0</v>
      </c>
    </row>
    <row r="30" spans="1:32" x14ac:dyDescent="0.25">
      <c r="A30">
        <f t="shared" ref="A30:A44" si="21">A29+1</f>
        <v>2</v>
      </c>
      <c r="B30" t="s">
        <v>38</v>
      </c>
      <c r="C30">
        <f t="shared" ref="C30:C93" si="22">IF(B30=B29,INT((A30)/$C$6),C29+1)</f>
        <v>0</v>
      </c>
      <c r="D30">
        <f t="shared" ref="D30:D93" si="23">IF(C30=C31,0,1)</f>
        <v>0</v>
      </c>
      <c r="E30" s="17">
        <f t="shared" ref="E30:E93" si="24">E29-L29</f>
        <v>20000</v>
      </c>
      <c r="F30" s="20">
        <f t="shared" si="18"/>
        <v>0.01</v>
      </c>
      <c r="G30" s="22">
        <f t="shared" ref="G30:G44" si="25">E29*F30</f>
        <v>200</v>
      </c>
      <c r="H30" s="22">
        <f t="shared" si="19"/>
        <v>2343.1499131564697</v>
      </c>
      <c r="I30" s="22">
        <f>SUM($G$29:G30)-SUM($K$28:K29)</f>
        <v>400</v>
      </c>
      <c r="J30" s="22"/>
      <c r="K30" s="22">
        <f t="shared" ref="K30:K44" si="26">IF(J30&gt;0,IF(J30&gt;I30,I30,J30),0)</f>
        <v>0</v>
      </c>
      <c r="L30" s="22">
        <f t="shared" ref="L30:L44" si="27">IF(J30&gt;0,IF(J30&gt;K30,J30-K30,0),0)</f>
        <v>0</v>
      </c>
      <c r="M30" s="22">
        <f t="shared" si="20"/>
        <v>0</v>
      </c>
    </row>
    <row r="31" spans="1:32" x14ac:dyDescent="0.25">
      <c r="A31">
        <f t="shared" si="21"/>
        <v>3</v>
      </c>
      <c r="B31" t="s">
        <v>38</v>
      </c>
      <c r="C31">
        <f t="shared" si="22"/>
        <v>0</v>
      </c>
      <c r="D31">
        <f t="shared" si="23"/>
        <v>0</v>
      </c>
      <c r="E31" s="17">
        <f t="shared" si="24"/>
        <v>20000</v>
      </c>
      <c r="F31" s="20">
        <f t="shared" si="18"/>
        <v>0.01</v>
      </c>
      <c r="G31" s="22">
        <f t="shared" si="25"/>
        <v>200</v>
      </c>
      <c r="H31" s="22">
        <f t="shared" si="19"/>
        <v>2343.1499131564697</v>
      </c>
      <c r="I31" s="22">
        <f>SUM($G$29:G31)-SUM($K$28:K30)</f>
        <v>600</v>
      </c>
      <c r="J31" s="22"/>
      <c r="K31" s="22">
        <f t="shared" si="26"/>
        <v>0</v>
      </c>
      <c r="L31" s="22">
        <f t="shared" si="27"/>
        <v>0</v>
      </c>
      <c r="M31" s="22">
        <f t="shared" si="20"/>
        <v>0</v>
      </c>
    </row>
    <row r="32" spans="1:32" x14ac:dyDescent="0.25">
      <c r="A32">
        <f t="shared" si="21"/>
        <v>4</v>
      </c>
      <c r="B32" t="s">
        <v>38</v>
      </c>
      <c r="C32">
        <f t="shared" si="22"/>
        <v>0</v>
      </c>
      <c r="D32">
        <f t="shared" si="23"/>
        <v>0</v>
      </c>
      <c r="E32" s="17">
        <f t="shared" si="24"/>
        <v>20000</v>
      </c>
      <c r="F32" s="20">
        <f t="shared" si="18"/>
        <v>0.01</v>
      </c>
      <c r="G32" s="22">
        <f t="shared" si="25"/>
        <v>200</v>
      </c>
      <c r="H32" s="22">
        <f t="shared" si="19"/>
        <v>2343.1499131564697</v>
      </c>
      <c r="I32" s="22">
        <f>SUM($G$29:G32)-SUM($K$28:K31)</f>
        <v>800</v>
      </c>
      <c r="J32" s="22"/>
      <c r="K32" s="22">
        <f t="shared" si="26"/>
        <v>0</v>
      </c>
      <c r="L32" s="22">
        <f t="shared" si="27"/>
        <v>0</v>
      </c>
      <c r="M32" s="22">
        <f t="shared" si="20"/>
        <v>0</v>
      </c>
    </row>
    <row r="33" spans="1:13" x14ac:dyDescent="0.25">
      <c r="A33">
        <f t="shared" si="21"/>
        <v>5</v>
      </c>
      <c r="B33" t="s">
        <v>38</v>
      </c>
      <c r="C33">
        <f t="shared" si="22"/>
        <v>0</v>
      </c>
      <c r="D33">
        <f t="shared" si="23"/>
        <v>0</v>
      </c>
      <c r="E33" s="17">
        <f t="shared" si="24"/>
        <v>20000</v>
      </c>
      <c r="F33" s="20">
        <f t="shared" si="18"/>
        <v>0.01</v>
      </c>
      <c r="G33" s="22">
        <f t="shared" si="25"/>
        <v>200</v>
      </c>
      <c r="H33" s="22">
        <f t="shared" si="19"/>
        <v>2343.1499131564697</v>
      </c>
      <c r="I33" s="22">
        <f>SUM($G$29:G33)-SUM($K$28:K32)</f>
        <v>1000</v>
      </c>
      <c r="J33" s="22">
        <v>0</v>
      </c>
      <c r="K33" s="22">
        <f t="shared" si="26"/>
        <v>0</v>
      </c>
      <c r="L33" s="22">
        <f t="shared" si="27"/>
        <v>0</v>
      </c>
      <c r="M33" s="22">
        <f t="shared" si="20"/>
        <v>0</v>
      </c>
    </row>
    <row r="34" spans="1:13" x14ac:dyDescent="0.25">
      <c r="A34">
        <f t="shared" si="21"/>
        <v>6</v>
      </c>
      <c r="B34" t="s">
        <v>38</v>
      </c>
      <c r="C34">
        <f t="shared" si="22"/>
        <v>0</v>
      </c>
      <c r="D34">
        <f t="shared" si="23"/>
        <v>0</v>
      </c>
      <c r="E34" s="17">
        <f t="shared" si="24"/>
        <v>20000</v>
      </c>
      <c r="F34" s="20">
        <f t="shared" si="18"/>
        <v>0.01</v>
      </c>
      <c r="G34" s="22">
        <f t="shared" si="25"/>
        <v>200</v>
      </c>
      <c r="H34" s="22">
        <f t="shared" si="19"/>
        <v>2343.1499131564697</v>
      </c>
      <c r="I34" s="22">
        <f>SUM($G$29:G34)-SUM($K$28:K33)</f>
        <v>1200</v>
      </c>
      <c r="J34" s="22"/>
      <c r="K34" s="22">
        <f t="shared" si="26"/>
        <v>0</v>
      </c>
      <c r="L34" s="22">
        <f t="shared" si="27"/>
        <v>0</v>
      </c>
      <c r="M34" s="22">
        <f t="shared" si="20"/>
        <v>0</v>
      </c>
    </row>
    <row r="35" spans="1:13" x14ac:dyDescent="0.25">
      <c r="A35">
        <f t="shared" si="21"/>
        <v>7</v>
      </c>
      <c r="B35" t="s">
        <v>38</v>
      </c>
      <c r="C35">
        <f t="shared" si="22"/>
        <v>0</v>
      </c>
      <c r="D35">
        <f t="shared" si="23"/>
        <v>0</v>
      </c>
      <c r="E35" s="17">
        <f t="shared" si="24"/>
        <v>20000</v>
      </c>
      <c r="F35" s="20">
        <f t="shared" si="18"/>
        <v>0.01</v>
      </c>
      <c r="G35" s="22">
        <f t="shared" si="25"/>
        <v>200</v>
      </c>
      <c r="H35" s="22">
        <f t="shared" si="19"/>
        <v>2343.1499131564697</v>
      </c>
      <c r="I35" s="22">
        <f>SUM($G$29:G35)-SUM($K$28:K34)</f>
        <v>1400</v>
      </c>
      <c r="J35" s="22"/>
      <c r="K35" s="22">
        <f t="shared" si="26"/>
        <v>0</v>
      </c>
      <c r="L35" s="22">
        <f t="shared" si="27"/>
        <v>0</v>
      </c>
      <c r="M35" s="22">
        <f t="shared" si="20"/>
        <v>0</v>
      </c>
    </row>
    <row r="36" spans="1:13" x14ac:dyDescent="0.25">
      <c r="A36">
        <f t="shared" si="21"/>
        <v>8</v>
      </c>
      <c r="B36" t="s">
        <v>38</v>
      </c>
      <c r="C36">
        <f t="shared" si="22"/>
        <v>0</v>
      </c>
      <c r="D36">
        <f t="shared" si="23"/>
        <v>0</v>
      </c>
      <c r="E36" s="17">
        <f t="shared" si="24"/>
        <v>20000</v>
      </c>
      <c r="F36" s="20">
        <f t="shared" si="18"/>
        <v>0.01</v>
      </c>
      <c r="G36" s="22">
        <f t="shared" si="25"/>
        <v>200</v>
      </c>
      <c r="H36" s="22">
        <f t="shared" si="19"/>
        <v>2343.1499131564697</v>
      </c>
      <c r="I36" s="22">
        <f>SUM($G$29:G36)-SUM($K$28:K35)</f>
        <v>1600</v>
      </c>
      <c r="J36" s="22"/>
      <c r="K36" s="22">
        <f t="shared" si="26"/>
        <v>0</v>
      </c>
      <c r="L36" s="22">
        <f t="shared" si="27"/>
        <v>0</v>
      </c>
      <c r="M36" s="22">
        <f t="shared" si="20"/>
        <v>0</v>
      </c>
    </row>
    <row r="37" spans="1:13" x14ac:dyDescent="0.25">
      <c r="A37">
        <f t="shared" si="21"/>
        <v>9</v>
      </c>
      <c r="B37" t="s">
        <v>38</v>
      </c>
      <c r="C37">
        <f t="shared" si="22"/>
        <v>0</v>
      </c>
      <c r="D37">
        <f t="shared" si="23"/>
        <v>0</v>
      </c>
      <c r="E37" s="17">
        <f t="shared" si="24"/>
        <v>20000</v>
      </c>
      <c r="F37" s="20">
        <f t="shared" si="18"/>
        <v>0.01</v>
      </c>
      <c r="G37" s="22">
        <f t="shared" si="25"/>
        <v>200</v>
      </c>
      <c r="H37" s="22">
        <f t="shared" si="19"/>
        <v>2343.1499131564697</v>
      </c>
      <c r="I37" s="22">
        <f>SUM($G$29:G37)-SUM($K$28:K36)</f>
        <v>1800</v>
      </c>
      <c r="J37" s="22"/>
      <c r="K37" s="22">
        <f t="shared" si="26"/>
        <v>0</v>
      </c>
      <c r="L37" s="22">
        <f t="shared" si="27"/>
        <v>0</v>
      </c>
      <c r="M37" s="22">
        <f t="shared" si="20"/>
        <v>0</v>
      </c>
    </row>
    <row r="38" spans="1:13" x14ac:dyDescent="0.25">
      <c r="A38">
        <f t="shared" si="21"/>
        <v>10</v>
      </c>
      <c r="B38" t="s">
        <v>38</v>
      </c>
      <c r="C38">
        <f t="shared" si="22"/>
        <v>0</v>
      </c>
      <c r="D38">
        <f t="shared" si="23"/>
        <v>0</v>
      </c>
      <c r="E38" s="17">
        <f t="shared" si="24"/>
        <v>20000</v>
      </c>
      <c r="F38" s="20">
        <f t="shared" si="18"/>
        <v>0.01</v>
      </c>
      <c r="G38" s="22">
        <f t="shared" si="25"/>
        <v>200</v>
      </c>
      <c r="H38" s="22">
        <f t="shared" si="19"/>
        <v>2343.1499131564697</v>
      </c>
      <c r="I38" s="22">
        <f>SUM($G$29:G38)-SUM($K$28:K37)</f>
        <v>2000</v>
      </c>
      <c r="J38" s="22"/>
      <c r="K38" s="22">
        <f t="shared" si="26"/>
        <v>0</v>
      </c>
      <c r="L38" s="22">
        <f t="shared" si="27"/>
        <v>0</v>
      </c>
      <c r="M38" s="22">
        <f t="shared" si="20"/>
        <v>0</v>
      </c>
    </row>
    <row r="39" spans="1:13" x14ac:dyDescent="0.25">
      <c r="A39">
        <f t="shared" si="21"/>
        <v>11</v>
      </c>
      <c r="B39" t="s">
        <v>38</v>
      </c>
      <c r="C39">
        <f t="shared" si="22"/>
        <v>0</v>
      </c>
      <c r="D39">
        <f t="shared" si="23"/>
        <v>0</v>
      </c>
      <c r="E39" s="17">
        <f t="shared" si="24"/>
        <v>20000</v>
      </c>
      <c r="F39" s="20">
        <f t="shared" si="18"/>
        <v>0.01</v>
      </c>
      <c r="G39" s="22">
        <f t="shared" si="25"/>
        <v>200</v>
      </c>
      <c r="H39" s="22">
        <f t="shared" si="19"/>
        <v>2343.1499131564697</v>
      </c>
      <c r="I39" s="22">
        <f>SUM($G$29:G39)-SUM($K$28:K38)</f>
        <v>2200</v>
      </c>
      <c r="J39" s="22"/>
      <c r="K39" s="22">
        <f t="shared" si="26"/>
        <v>0</v>
      </c>
      <c r="L39" s="22">
        <f t="shared" si="27"/>
        <v>0</v>
      </c>
      <c r="M39" s="22">
        <f t="shared" si="20"/>
        <v>0</v>
      </c>
    </row>
    <row r="40" spans="1:13" x14ac:dyDescent="0.25">
      <c r="A40">
        <f t="shared" si="21"/>
        <v>12</v>
      </c>
      <c r="B40" t="s">
        <v>38</v>
      </c>
      <c r="C40">
        <f t="shared" si="22"/>
        <v>0</v>
      </c>
      <c r="D40">
        <f t="shared" si="23"/>
        <v>0</v>
      </c>
      <c r="E40" s="17">
        <f t="shared" si="24"/>
        <v>20000</v>
      </c>
      <c r="F40" s="20">
        <f t="shared" si="18"/>
        <v>0.01</v>
      </c>
      <c r="G40" s="22">
        <f t="shared" si="25"/>
        <v>200</v>
      </c>
      <c r="H40" s="22">
        <f t="shared" si="19"/>
        <v>2343.1499131564697</v>
      </c>
      <c r="I40" s="22">
        <f>SUM($G$29:G40)-SUM($K$28:K39)</f>
        <v>2400</v>
      </c>
      <c r="J40" s="22"/>
      <c r="K40" s="22">
        <f t="shared" si="26"/>
        <v>0</v>
      </c>
      <c r="L40" s="22">
        <f t="shared" si="27"/>
        <v>0</v>
      </c>
      <c r="M40" s="22">
        <f t="shared" si="20"/>
        <v>0</v>
      </c>
    </row>
    <row r="41" spans="1:13" x14ac:dyDescent="0.25">
      <c r="A41">
        <f t="shared" si="21"/>
        <v>13</v>
      </c>
      <c r="B41" t="s">
        <v>38</v>
      </c>
      <c r="C41">
        <f t="shared" si="22"/>
        <v>0</v>
      </c>
      <c r="D41">
        <f t="shared" si="23"/>
        <v>1</v>
      </c>
      <c r="E41" s="17">
        <f t="shared" si="24"/>
        <v>20000</v>
      </c>
      <c r="F41" s="20">
        <f t="shared" si="18"/>
        <v>0.01</v>
      </c>
      <c r="G41" s="22">
        <f t="shared" si="25"/>
        <v>200</v>
      </c>
      <c r="H41" s="22">
        <f t="shared" si="19"/>
        <v>2343.1499131564697</v>
      </c>
      <c r="I41" s="22">
        <f>SUM($G$29:G41)-SUM($K$28:K40)</f>
        <v>2600</v>
      </c>
      <c r="J41" s="22">
        <v>5000</v>
      </c>
      <c r="K41" s="22">
        <f t="shared" si="26"/>
        <v>2600</v>
      </c>
      <c r="L41" s="22">
        <f t="shared" si="27"/>
        <v>2400</v>
      </c>
      <c r="M41" s="22">
        <f t="shared" si="20"/>
        <v>56.850086843530335</v>
      </c>
    </row>
    <row r="42" spans="1:13" x14ac:dyDescent="0.25">
      <c r="A42">
        <f t="shared" si="21"/>
        <v>14</v>
      </c>
      <c r="B42" t="s">
        <v>39</v>
      </c>
      <c r="C42">
        <f t="shared" si="22"/>
        <v>1</v>
      </c>
      <c r="D42">
        <f t="shared" si="23"/>
        <v>0</v>
      </c>
      <c r="E42" s="17">
        <f>E41-L41</f>
        <v>17600</v>
      </c>
      <c r="F42" s="20">
        <f>IFERROR(SUMIF($M$17:$M$23,C42,$U$17:$U$23),0)</f>
        <v>7.4999999999999997E-3</v>
      </c>
      <c r="G42" s="22">
        <f t="shared" si="25"/>
        <v>150</v>
      </c>
      <c r="H42" s="22">
        <f>IFERROR(SUMIF($M$17:$M$23,C42,$Q$17:$Q$23),0)</f>
        <v>2662.5904182423628</v>
      </c>
      <c r="I42" s="22">
        <f>SUM($G$29:G42)-SUM($K$28:K41)</f>
        <v>150</v>
      </c>
      <c r="J42" s="22"/>
      <c r="K42" s="22">
        <f t="shared" si="26"/>
        <v>0</v>
      </c>
      <c r="L42" s="22">
        <f t="shared" si="27"/>
        <v>0</v>
      </c>
      <c r="M42" s="22">
        <f t="shared" si="20"/>
        <v>0</v>
      </c>
    </row>
    <row r="43" spans="1:13" x14ac:dyDescent="0.25">
      <c r="A43">
        <f t="shared" si="21"/>
        <v>15</v>
      </c>
      <c r="B43" t="s">
        <v>39</v>
      </c>
      <c r="C43">
        <f t="shared" si="22"/>
        <v>1</v>
      </c>
      <c r="D43">
        <f t="shared" si="23"/>
        <v>0</v>
      </c>
      <c r="E43" s="17">
        <f t="shared" si="24"/>
        <v>17600</v>
      </c>
      <c r="F43" s="20">
        <f t="shared" ref="F43:F50" si="28">IFERROR(SUMIF($M$17:$M$23,C43,$U$17:$U$23),0)</f>
        <v>7.4999999999999997E-3</v>
      </c>
      <c r="G43" s="22">
        <f t="shared" si="25"/>
        <v>132</v>
      </c>
      <c r="H43" s="22">
        <f t="shared" ref="H43:H50" si="29">IFERROR(SUMIF($M$17:$M$23,C43,$Q$17:$Q$23),0)</f>
        <v>2662.5904182423628</v>
      </c>
      <c r="I43" s="22">
        <f>SUM($G$29:G43)-SUM($K$28:K42)</f>
        <v>282</v>
      </c>
      <c r="J43" s="22"/>
      <c r="K43" s="22">
        <f t="shared" si="26"/>
        <v>0</v>
      </c>
      <c r="L43" s="22">
        <f t="shared" si="27"/>
        <v>0</v>
      </c>
      <c r="M43" s="22">
        <f t="shared" si="20"/>
        <v>0</v>
      </c>
    </row>
    <row r="44" spans="1:13" x14ac:dyDescent="0.25">
      <c r="A44">
        <f t="shared" si="21"/>
        <v>16</v>
      </c>
      <c r="B44" t="s">
        <v>39</v>
      </c>
      <c r="C44">
        <f t="shared" si="22"/>
        <v>1</v>
      </c>
      <c r="D44">
        <f t="shared" si="23"/>
        <v>0</v>
      </c>
      <c r="E44" s="17">
        <f t="shared" si="24"/>
        <v>17600</v>
      </c>
      <c r="F44" s="20">
        <f t="shared" si="28"/>
        <v>7.4999999999999997E-3</v>
      </c>
      <c r="G44" s="22">
        <f t="shared" si="25"/>
        <v>132</v>
      </c>
      <c r="H44" s="22">
        <f t="shared" si="29"/>
        <v>2662.5904182423628</v>
      </c>
      <c r="I44" s="22">
        <f>SUM($G$29:G44)-SUM($K$28:K43)</f>
        <v>414</v>
      </c>
      <c r="J44" s="22"/>
      <c r="K44" s="22">
        <f t="shared" si="26"/>
        <v>0</v>
      </c>
      <c r="L44" s="22">
        <f t="shared" si="27"/>
        <v>0</v>
      </c>
      <c r="M44" s="22">
        <f t="shared" si="20"/>
        <v>0</v>
      </c>
    </row>
    <row r="45" spans="1:13" x14ac:dyDescent="0.25">
      <c r="A45">
        <f t="shared" ref="A45:A108" si="30">A44+1</f>
        <v>17</v>
      </c>
      <c r="B45" t="s">
        <v>39</v>
      </c>
      <c r="C45">
        <f t="shared" si="22"/>
        <v>1</v>
      </c>
      <c r="D45">
        <f t="shared" si="23"/>
        <v>0</v>
      </c>
      <c r="E45" s="17">
        <f t="shared" si="24"/>
        <v>17600</v>
      </c>
      <c r="F45" s="20">
        <f t="shared" si="28"/>
        <v>7.4999999999999997E-3</v>
      </c>
      <c r="G45" s="22">
        <f t="shared" ref="G45:G108" si="31">E44*F45</f>
        <v>132</v>
      </c>
      <c r="H45" s="22">
        <f t="shared" si="29"/>
        <v>2662.5904182423628</v>
      </c>
      <c r="I45" s="22">
        <f>SUM($G$29:G45)-SUM($K$28:K44)</f>
        <v>546</v>
      </c>
      <c r="J45" s="22"/>
      <c r="K45" s="22">
        <f t="shared" ref="K45:K108" si="32">IF(J45&gt;0,IF(J45&gt;I45,I45,J45),0)</f>
        <v>0</v>
      </c>
      <c r="L45" s="22">
        <f t="shared" ref="L45:L108" si="33">IF(J45&gt;0,IF(J45&gt;K45,J45-K45,0),0)</f>
        <v>0</v>
      </c>
      <c r="M45" s="22">
        <f t="shared" ref="M45:M108" si="34">IF(L45&gt;H45,L45-H45,0)</f>
        <v>0</v>
      </c>
    </row>
    <row r="46" spans="1:13" x14ac:dyDescent="0.25">
      <c r="A46">
        <f t="shared" si="30"/>
        <v>18</v>
      </c>
      <c r="B46" t="s">
        <v>39</v>
      </c>
      <c r="C46">
        <f t="shared" si="22"/>
        <v>1</v>
      </c>
      <c r="D46">
        <f t="shared" si="23"/>
        <v>0</v>
      </c>
      <c r="E46" s="17">
        <f t="shared" si="24"/>
        <v>17600</v>
      </c>
      <c r="F46" s="20">
        <f t="shared" si="28"/>
        <v>7.4999999999999997E-3</v>
      </c>
      <c r="G46" s="22">
        <f t="shared" si="31"/>
        <v>132</v>
      </c>
      <c r="H46" s="22">
        <f t="shared" si="29"/>
        <v>2662.5904182423628</v>
      </c>
      <c r="I46" s="22">
        <f>SUM($G$29:G46)-SUM($K$28:K45)</f>
        <v>678</v>
      </c>
      <c r="J46" s="22"/>
      <c r="K46" s="22">
        <f t="shared" si="32"/>
        <v>0</v>
      </c>
      <c r="L46" s="22">
        <f t="shared" si="33"/>
        <v>0</v>
      </c>
      <c r="M46" s="22">
        <f t="shared" si="34"/>
        <v>0</v>
      </c>
    </row>
    <row r="47" spans="1:13" x14ac:dyDescent="0.25">
      <c r="A47">
        <f t="shared" si="30"/>
        <v>19</v>
      </c>
      <c r="B47" t="s">
        <v>39</v>
      </c>
      <c r="C47">
        <f t="shared" si="22"/>
        <v>1</v>
      </c>
      <c r="D47">
        <f t="shared" si="23"/>
        <v>0</v>
      </c>
      <c r="E47" s="17">
        <f t="shared" si="24"/>
        <v>17600</v>
      </c>
      <c r="F47" s="20">
        <f t="shared" si="28"/>
        <v>7.4999999999999997E-3</v>
      </c>
      <c r="G47" s="22">
        <f t="shared" si="31"/>
        <v>132</v>
      </c>
      <c r="H47" s="22">
        <f t="shared" si="29"/>
        <v>2662.5904182423628</v>
      </c>
      <c r="I47" s="22">
        <f>SUM($G$29:G47)-SUM($K$28:K46)</f>
        <v>810</v>
      </c>
      <c r="J47" s="22"/>
      <c r="K47" s="22">
        <f t="shared" si="32"/>
        <v>0</v>
      </c>
      <c r="L47" s="22">
        <f t="shared" si="33"/>
        <v>0</v>
      </c>
      <c r="M47" s="22">
        <f t="shared" si="34"/>
        <v>0</v>
      </c>
    </row>
    <row r="48" spans="1:13" x14ac:dyDescent="0.25">
      <c r="A48">
        <f t="shared" si="30"/>
        <v>20</v>
      </c>
      <c r="B48" t="s">
        <v>39</v>
      </c>
      <c r="C48">
        <f t="shared" si="22"/>
        <v>1</v>
      </c>
      <c r="D48">
        <f t="shared" si="23"/>
        <v>0</v>
      </c>
      <c r="E48" s="17">
        <f t="shared" si="24"/>
        <v>17600</v>
      </c>
      <c r="F48" s="20">
        <f t="shared" si="28"/>
        <v>7.4999999999999997E-3</v>
      </c>
      <c r="G48" s="22">
        <f t="shared" si="31"/>
        <v>132</v>
      </c>
      <c r="H48" s="22">
        <f t="shared" si="29"/>
        <v>2662.5904182423628</v>
      </c>
      <c r="I48" s="22">
        <f>SUM($G$29:G48)-SUM($K$28:K47)</f>
        <v>942</v>
      </c>
      <c r="J48" s="22"/>
      <c r="K48" s="22">
        <f t="shared" si="32"/>
        <v>0</v>
      </c>
      <c r="L48" s="22">
        <f t="shared" si="33"/>
        <v>0</v>
      </c>
      <c r="M48" s="22">
        <f t="shared" si="34"/>
        <v>0</v>
      </c>
    </row>
    <row r="49" spans="1:13" x14ac:dyDescent="0.25">
      <c r="A49">
        <f t="shared" si="30"/>
        <v>21</v>
      </c>
      <c r="B49" t="s">
        <v>39</v>
      </c>
      <c r="C49">
        <f t="shared" si="22"/>
        <v>1</v>
      </c>
      <c r="D49">
        <f t="shared" si="23"/>
        <v>0</v>
      </c>
      <c r="E49" s="17">
        <f t="shared" si="24"/>
        <v>17600</v>
      </c>
      <c r="F49" s="20">
        <f t="shared" si="28"/>
        <v>7.4999999999999997E-3</v>
      </c>
      <c r="G49" s="22">
        <f t="shared" si="31"/>
        <v>132</v>
      </c>
      <c r="H49" s="22">
        <f t="shared" si="29"/>
        <v>2662.5904182423628</v>
      </c>
      <c r="I49" s="22">
        <f>SUM($G$29:G49)-SUM($K$28:K48)</f>
        <v>1074</v>
      </c>
      <c r="J49" s="22"/>
      <c r="K49" s="22">
        <f t="shared" si="32"/>
        <v>0</v>
      </c>
      <c r="L49" s="22">
        <f t="shared" si="33"/>
        <v>0</v>
      </c>
      <c r="M49" s="22">
        <f t="shared" si="34"/>
        <v>0</v>
      </c>
    </row>
    <row r="50" spans="1:13" x14ac:dyDescent="0.25">
      <c r="A50">
        <f t="shared" si="30"/>
        <v>22</v>
      </c>
      <c r="B50" t="s">
        <v>39</v>
      </c>
      <c r="C50">
        <f t="shared" si="22"/>
        <v>1</v>
      </c>
      <c r="D50">
        <f t="shared" si="23"/>
        <v>1</v>
      </c>
      <c r="E50" s="17">
        <f t="shared" si="24"/>
        <v>17600</v>
      </c>
      <c r="F50" s="20">
        <f t="shared" si="28"/>
        <v>7.4999999999999997E-3</v>
      </c>
      <c r="G50" s="22">
        <f t="shared" si="31"/>
        <v>132</v>
      </c>
      <c r="H50" s="22">
        <f t="shared" si="29"/>
        <v>2662.5904182423628</v>
      </c>
      <c r="I50" s="22">
        <f>SUM($G$29:G50)-SUM($K$28:K49)</f>
        <v>1206</v>
      </c>
      <c r="J50" s="22">
        <v>2500</v>
      </c>
      <c r="K50" s="22">
        <f t="shared" si="32"/>
        <v>1206</v>
      </c>
      <c r="L50" s="22">
        <f t="shared" si="33"/>
        <v>1294</v>
      </c>
      <c r="M50" s="22">
        <f t="shared" si="34"/>
        <v>0</v>
      </c>
    </row>
    <row r="51" spans="1:13" x14ac:dyDescent="0.25">
      <c r="A51">
        <f t="shared" si="30"/>
        <v>23</v>
      </c>
      <c r="B51" t="s">
        <v>40</v>
      </c>
      <c r="C51">
        <f t="shared" si="22"/>
        <v>2</v>
      </c>
      <c r="D51">
        <f t="shared" si="23"/>
        <v>0</v>
      </c>
      <c r="E51" s="17">
        <f t="shared" si="24"/>
        <v>16306</v>
      </c>
      <c r="F51" s="20">
        <f>IFERROR(SUMIF($X$17:$X$24,C51,$AF$17:$AF$24),0)</f>
        <v>5.6249999999999998E-3</v>
      </c>
      <c r="G51" s="22">
        <f>E50*F51</f>
        <v>99</v>
      </c>
      <c r="H51" s="22">
        <f>IFERROR(SUMIF($X$17:$X$24,C51,$AB$17:$AB$24),0)</f>
        <v>0</v>
      </c>
      <c r="I51" s="22">
        <f>SUM($G$29:G51)-SUM($K$28:K50)</f>
        <v>99</v>
      </c>
      <c r="J51" s="22"/>
      <c r="K51" s="22">
        <f t="shared" si="32"/>
        <v>0</v>
      </c>
      <c r="L51" s="22">
        <f t="shared" si="33"/>
        <v>0</v>
      </c>
      <c r="M51" s="22">
        <f t="shared" si="34"/>
        <v>0</v>
      </c>
    </row>
    <row r="52" spans="1:13" x14ac:dyDescent="0.25">
      <c r="A52">
        <f t="shared" si="30"/>
        <v>24</v>
      </c>
      <c r="B52" t="s">
        <v>40</v>
      </c>
      <c r="C52">
        <f>C51</f>
        <v>2</v>
      </c>
      <c r="D52">
        <f t="shared" si="23"/>
        <v>0</v>
      </c>
      <c r="E52" s="17">
        <f t="shared" si="24"/>
        <v>16306</v>
      </c>
      <c r="F52" s="20">
        <f t="shared" ref="F52:F115" si="35">IFERROR(SUMIF($X$17:$X$24,C52,$AF$17:$AF$24),0)</f>
        <v>5.6249999999999998E-3</v>
      </c>
      <c r="G52" s="22">
        <f t="shared" si="31"/>
        <v>91.721249999999998</v>
      </c>
      <c r="H52" s="22">
        <f t="shared" ref="H52:H115" si="36">IFERROR(SUMIF($X$17:$X$24,C52,$AB$17:$AB$24),0)</f>
        <v>0</v>
      </c>
      <c r="I52" s="22">
        <f>SUM($G$29:G52)-SUM($K$28:K51)</f>
        <v>190.72125000000005</v>
      </c>
      <c r="J52" s="22"/>
      <c r="K52" s="22">
        <f t="shared" si="32"/>
        <v>0</v>
      </c>
      <c r="L52" s="22">
        <f t="shared" si="33"/>
        <v>0</v>
      </c>
      <c r="M52" s="22">
        <f t="shared" si="34"/>
        <v>0</v>
      </c>
    </row>
    <row r="53" spans="1:13" x14ac:dyDescent="0.25">
      <c r="A53">
        <f t="shared" si="30"/>
        <v>25</v>
      </c>
      <c r="B53" t="s">
        <v>40</v>
      </c>
      <c r="C53">
        <f>C52</f>
        <v>2</v>
      </c>
      <c r="D53">
        <f t="shared" si="23"/>
        <v>0</v>
      </c>
      <c r="E53" s="17">
        <f t="shared" si="24"/>
        <v>16306</v>
      </c>
      <c r="F53" s="20">
        <f t="shared" si="35"/>
        <v>5.6249999999999998E-3</v>
      </c>
      <c r="G53" s="22">
        <f t="shared" si="31"/>
        <v>91.721249999999998</v>
      </c>
      <c r="H53" s="22">
        <f t="shared" si="36"/>
        <v>0</v>
      </c>
      <c r="I53" s="22">
        <f>SUM($G$29:G53)-SUM($K$28:K52)</f>
        <v>282.44250000000011</v>
      </c>
      <c r="J53" s="22"/>
      <c r="K53" s="22">
        <f t="shared" si="32"/>
        <v>0</v>
      </c>
      <c r="L53" s="22">
        <f t="shared" si="33"/>
        <v>0</v>
      </c>
      <c r="M53" s="22">
        <f t="shared" si="34"/>
        <v>0</v>
      </c>
    </row>
    <row r="54" spans="1:13" x14ac:dyDescent="0.25">
      <c r="A54">
        <f t="shared" si="30"/>
        <v>26</v>
      </c>
      <c r="B54" t="s">
        <v>40</v>
      </c>
      <c r="C54">
        <f>C53</f>
        <v>2</v>
      </c>
      <c r="D54">
        <f t="shared" si="23"/>
        <v>0</v>
      </c>
      <c r="E54" s="17">
        <f t="shared" si="24"/>
        <v>16306</v>
      </c>
      <c r="F54" s="20">
        <f t="shared" si="35"/>
        <v>5.6249999999999998E-3</v>
      </c>
      <c r="G54" s="22">
        <f t="shared" si="31"/>
        <v>91.721249999999998</v>
      </c>
      <c r="H54" s="22">
        <f t="shared" si="36"/>
        <v>0</v>
      </c>
      <c r="I54" s="22">
        <f>SUM($G$29:G54)-SUM($K$28:K53)</f>
        <v>374.16374999999971</v>
      </c>
      <c r="J54" s="22"/>
      <c r="K54" s="22">
        <f t="shared" si="32"/>
        <v>0</v>
      </c>
      <c r="L54" s="22">
        <f t="shared" si="33"/>
        <v>0</v>
      </c>
      <c r="M54" s="22">
        <f t="shared" si="34"/>
        <v>0</v>
      </c>
    </row>
    <row r="55" spans="1:13" x14ac:dyDescent="0.25">
      <c r="A55">
        <f t="shared" si="30"/>
        <v>27</v>
      </c>
      <c r="B55" t="s">
        <v>40</v>
      </c>
      <c r="C55">
        <f>C54</f>
        <v>2</v>
      </c>
      <c r="D55">
        <f t="shared" si="23"/>
        <v>0</v>
      </c>
      <c r="E55" s="17">
        <f t="shared" si="24"/>
        <v>16306</v>
      </c>
      <c r="F55" s="20">
        <f t="shared" si="35"/>
        <v>5.6249999999999998E-3</v>
      </c>
      <c r="G55" s="22">
        <f t="shared" si="31"/>
        <v>91.721249999999998</v>
      </c>
      <c r="H55" s="22">
        <f t="shared" si="36"/>
        <v>0</v>
      </c>
      <c r="I55" s="22">
        <f>SUM($G$29:G55)-SUM($K$28:K54)</f>
        <v>465.88499999999931</v>
      </c>
      <c r="J55" s="22">
        <v>0</v>
      </c>
      <c r="K55" s="22">
        <f t="shared" si="32"/>
        <v>0</v>
      </c>
      <c r="L55" s="22">
        <f t="shared" si="33"/>
        <v>0</v>
      </c>
      <c r="M55" s="22">
        <f t="shared" si="34"/>
        <v>0</v>
      </c>
    </row>
    <row r="56" spans="1:13" x14ac:dyDescent="0.25">
      <c r="A56">
        <f t="shared" si="30"/>
        <v>28</v>
      </c>
      <c r="B56" t="s">
        <v>40</v>
      </c>
      <c r="C56">
        <f t="shared" si="22"/>
        <v>2</v>
      </c>
      <c r="D56">
        <f t="shared" si="23"/>
        <v>0</v>
      </c>
      <c r="E56" s="17">
        <f t="shared" si="24"/>
        <v>16306</v>
      </c>
      <c r="F56" s="20">
        <f t="shared" si="35"/>
        <v>5.6249999999999998E-3</v>
      </c>
      <c r="G56" s="22">
        <f t="shared" si="31"/>
        <v>91.721249999999998</v>
      </c>
      <c r="H56" s="22">
        <f t="shared" si="36"/>
        <v>0</v>
      </c>
      <c r="I56" s="22">
        <f>SUM($G$29:G56)-SUM($K$28:K55)</f>
        <v>557.60624999999891</v>
      </c>
      <c r="J56" s="22"/>
      <c r="K56" s="22">
        <f t="shared" si="32"/>
        <v>0</v>
      </c>
      <c r="L56" s="22">
        <f t="shared" si="33"/>
        <v>0</v>
      </c>
      <c r="M56" s="22">
        <f t="shared" si="34"/>
        <v>0</v>
      </c>
    </row>
    <row r="57" spans="1:13" x14ac:dyDescent="0.25">
      <c r="A57">
        <f t="shared" si="30"/>
        <v>29</v>
      </c>
      <c r="B57" t="s">
        <v>40</v>
      </c>
      <c r="C57">
        <f t="shared" si="22"/>
        <v>2</v>
      </c>
      <c r="D57">
        <f t="shared" si="23"/>
        <v>0</v>
      </c>
      <c r="E57" s="17">
        <f t="shared" si="24"/>
        <v>16306</v>
      </c>
      <c r="F57" s="20">
        <f t="shared" si="35"/>
        <v>5.6249999999999998E-3</v>
      </c>
      <c r="G57" s="22">
        <f t="shared" si="31"/>
        <v>91.721249999999998</v>
      </c>
      <c r="H57" s="22">
        <f t="shared" si="36"/>
        <v>0</v>
      </c>
      <c r="I57" s="22">
        <f>SUM($G$29:G57)-SUM($K$28:K56)</f>
        <v>649.32749999999851</v>
      </c>
      <c r="J57" s="22"/>
      <c r="K57" s="22">
        <f t="shared" si="32"/>
        <v>0</v>
      </c>
      <c r="L57" s="22">
        <f t="shared" si="33"/>
        <v>0</v>
      </c>
      <c r="M57" s="22">
        <f t="shared" si="34"/>
        <v>0</v>
      </c>
    </row>
    <row r="58" spans="1:13" x14ac:dyDescent="0.25">
      <c r="A58">
        <f t="shared" si="30"/>
        <v>30</v>
      </c>
      <c r="B58" t="s">
        <v>40</v>
      </c>
      <c r="C58">
        <f t="shared" si="22"/>
        <v>2</v>
      </c>
      <c r="D58">
        <f t="shared" si="23"/>
        <v>0</v>
      </c>
      <c r="E58" s="17">
        <f t="shared" si="24"/>
        <v>16306</v>
      </c>
      <c r="F58" s="20">
        <f t="shared" si="35"/>
        <v>5.6249999999999998E-3</v>
      </c>
      <c r="G58" s="22">
        <f t="shared" si="31"/>
        <v>91.721249999999998</v>
      </c>
      <c r="H58" s="22">
        <f t="shared" si="36"/>
        <v>0</v>
      </c>
      <c r="I58" s="22">
        <f>SUM($G$29:G58)-SUM($K$28:K57)</f>
        <v>741.04874999999811</v>
      </c>
      <c r="J58" s="22"/>
      <c r="K58" s="22">
        <f t="shared" si="32"/>
        <v>0</v>
      </c>
      <c r="L58" s="22">
        <f t="shared" si="33"/>
        <v>0</v>
      </c>
      <c r="M58" s="22">
        <f t="shared" si="34"/>
        <v>0</v>
      </c>
    </row>
    <row r="59" spans="1:13" x14ac:dyDescent="0.25">
      <c r="A59">
        <f t="shared" si="30"/>
        <v>31</v>
      </c>
      <c r="B59" t="s">
        <v>40</v>
      </c>
      <c r="C59">
        <f t="shared" si="22"/>
        <v>2</v>
      </c>
      <c r="D59">
        <f t="shared" si="23"/>
        <v>0</v>
      </c>
      <c r="E59" s="17">
        <f t="shared" si="24"/>
        <v>16306</v>
      </c>
      <c r="F59" s="20">
        <f t="shared" si="35"/>
        <v>5.6249999999999998E-3</v>
      </c>
      <c r="G59" s="22">
        <f t="shared" si="31"/>
        <v>91.721249999999998</v>
      </c>
      <c r="H59" s="22">
        <f t="shared" si="36"/>
        <v>0</v>
      </c>
      <c r="I59" s="22">
        <f>SUM($G$29:G59)-SUM($K$28:K58)</f>
        <v>832.76999999999771</v>
      </c>
      <c r="J59" s="22"/>
      <c r="K59" s="22">
        <f t="shared" si="32"/>
        <v>0</v>
      </c>
      <c r="L59" s="22">
        <f t="shared" si="33"/>
        <v>0</v>
      </c>
      <c r="M59" s="22">
        <f t="shared" si="34"/>
        <v>0</v>
      </c>
    </row>
    <row r="60" spans="1:13" x14ac:dyDescent="0.25">
      <c r="A60">
        <f t="shared" si="30"/>
        <v>32</v>
      </c>
      <c r="B60" t="s">
        <v>40</v>
      </c>
      <c r="C60">
        <f t="shared" si="22"/>
        <v>2</v>
      </c>
      <c r="D60">
        <f t="shared" si="23"/>
        <v>0</v>
      </c>
      <c r="E60" s="17">
        <f t="shared" si="24"/>
        <v>16306</v>
      </c>
      <c r="F60" s="20">
        <f t="shared" si="35"/>
        <v>5.6249999999999998E-3</v>
      </c>
      <c r="G60" s="22">
        <f t="shared" si="31"/>
        <v>91.721249999999998</v>
      </c>
      <c r="H60" s="22">
        <f t="shared" si="36"/>
        <v>0</v>
      </c>
      <c r="I60" s="22">
        <f>SUM($G$29:G60)-SUM($K$28:K59)</f>
        <v>924.49124999999731</v>
      </c>
      <c r="J60" s="22"/>
      <c r="K60" s="22">
        <f t="shared" si="32"/>
        <v>0</v>
      </c>
      <c r="L60" s="22">
        <f t="shared" si="33"/>
        <v>0</v>
      </c>
      <c r="M60" s="22">
        <f t="shared" si="34"/>
        <v>0</v>
      </c>
    </row>
    <row r="61" spans="1:13" x14ac:dyDescent="0.25">
      <c r="A61">
        <f t="shared" si="30"/>
        <v>33</v>
      </c>
      <c r="B61" t="s">
        <v>40</v>
      </c>
      <c r="C61">
        <f t="shared" si="22"/>
        <v>2</v>
      </c>
      <c r="D61">
        <f t="shared" si="23"/>
        <v>0</v>
      </c>
      <c r="E61" s="17">
        <f t="shared" si="24"/>
        <v>16306</v>
      </c>
      <c r="F61" s="20">
        <f t="shared" si="35"/>
        <v>5.6249999999999998E-3</v>
      </c>
      <c r="G61" s="22">
        <f t="shared" si="31"/>
        <v>91.721249999999998</v>
      </c>
      <c r="H61" s="22">
        <f t="shared" si="36"/>
        <v>0</v>
      </c>
      <c r="I61" s="22">
        <f>SUM($G$29:G61)-SUM($K$28:K60)</f>
        <v>1016.2124999999969</v>
      </c>
      <c r="J61" s="22"/>
      <c r="K61" s="22">
        <f t="shared" si="32"/>
        <v>0</v>
      </c>
      <c r="L61" s="22">
        <f t="shared" si="33"/>
        <v>0</v>
      </c>
      <c r="M61" s="22">
        <f t="shared" si="34"/>
        <v>0</v>
      </c>
    </row>
    <row r="62" spans="1:13" x14ac:dyDescent="0.25">
      <c r="A62">
        <f t="shared" si="30"/>
        <v>34</v>
      </c>
      <c r="B62" t="s">
        <v>40</v>
      </c>
      <c r="C62">
        <f t="shared" si="22"/>
        <v>2</v>
      </c>
      <c r="D62">
        <f t="shared" si="23"/>
        <v>0</v>
      </c>
      <c r="E62" s="17">
        <f t="shared" si="24"/>
        <v>16306</v>
      </c>
      <c r="F62" s="20">
        <f t="shared" si="35"/>
        <v>5.6249999999999998E-3</v>
      </c>
      <c r="G62" s="22">
        <f t="shared" si="31"/>
        <v>91.721249999999998</v>
      </c>
      <c r="H62" s="22">
        <f t="shared" si="36"/>
        <v>0</v>
      </c>
      <c r="I62" s="22">
        <f>SUM($G$29:G62)-SUM($K$28:K61)</f>
        <v>1107.9337499999965</v>
      </c>
      <c r="J62" s="22"/>
      <c r="K62" s="22">
        <f t="shared" si="32"/>
        <v>0</v>
      </c>
      <c r="L62" s="22">
        <f t="shared" si="33"/>
        <v>0</v>
      </c>
      <c r="M62" s="22">
        <f t="shared" si="34"/>
        <v>0</v>
      </c>
    </row>
    <row r="63" spans="1:13" x14ac:dyDescent="0.25">
      <c r="A63">
        <f t="shared" si="30"/>
        <v>35</v>
      </c>
      <c r="B63" t="s">
        <v>40</v>
      </c>
      <c r="C63">
        <f t="shared" si="22"/>
        <v>2</v>
      </c>
      <c r="D63">
        <f t="shared" si="23"/>
        <v>0</v>
      </c>
      <c r="E63" s="17">
        <f t="shared" si="24"/>
        <v>16306</v>
      </c>
      <c r="F63" s="20">
        <f t="shared" si="35"/>
        <v>5.6249999999999998E-3</v>
      </c>
      <c r="G63" s="22">
        <f t="shared" si="31"/>
        <v>91.721249999999998</v>
      </c>
      <c r="H63" s="22">
        <f t="shared" si="36"/>
        <v>0</v>
      </c>
      <c r="I63" s="22">
        <f>SUM($G$29:G63)-SUM($K$28:K62)</f>
        <v>1199.6549999999961</v>
      </c>
      <c r="J63" s="22"/>
      <c r="K63" s="22">
        <f t="shared" si="32"/>
        <v>0</v>
      </c>
      <c r="L63" s="22">
        <f t="shared" si="33"/>
        <v>0</v>
      </c>
      <c r="M63" s="22">
        <f t="shared" si="34"/>
        <v>0</v>
      </c>
    </row>
    <row r="64" spans="1:13" x14ac:dyDescent="0.25">
      <c r="A64">
        <f t="shared" si="30"/>
        <v>36</v>
      </c>
      <c r="B64" t="s">
        <v>40</v>
      </c>
      <c r="C64">
        <f t="shared" si="22"/>
        <v>2</v>
      </c>
      <c r="D64">
        <f t="shared" si="23"/>
        <v>0</v>
      </c>
      <c r="E64" s="17">
        <f t="shared" si="24"/>
        <v>16306</v>
      </c>
      <c r="F64" s="20">
        <f t="shared" si="35"/>
        <v>5.6249999999999998E-3</v>
      </c>
      <c r="G64" s="22">
        <f t="shared" si="31"/>
        <v>91.721249999999998</v>
      </c>
      <c r="H64" s="22">
        <f t="shared" si="36"/>
        <v>0</v>
      </c>
      <c r="I64" s="22">
        <f>SUM($G$29:G64)-SUM($K$28:K63)</f>
        <v>1291.3762499999957</v>
      </c>
      <c r="J64" s="22"/>
      <c r="K64" s="22">
        <f t="shared" si="32"/>
        <v>0</v>
      </c>
      <c r="L64" s="22">
        <f t="shared" si="33"/>
        <v>0</v>
      </c>
      <c r="M64" s="22">
        <f t="shared" si="34"/>
        <v>0</v>
      </c>
    </row>
    <row r="65" spans="1:13" x14ac:dyDescent="0.25">
      <c r="A65">
        <f t="shared" si="30"/>
        <v>37</v>
      </c>
      <c r="B65" t="s">
        <v>40</v>
      </c>
      <c r="C65">
        <f t="shared" si="22"/>
        <v>2</v>
      </c>
      <c r="D65">
        <f t="shared" si="23"/>
        <v>0</v>
      </c>
      <c r="E65" s="17">
        <f t="shared" si="24"/>
        <v>16306</v>
      </c>
      <c r="F65" s="20">
        <f t="shared" si="35"/>
        <v>5.6249999999999998E-3</v>
      </c>
      <c r="G65" s="22">
        <f t="shared" si="31"/>
        <v>91.721249999999998</v>
      </c>
      <c r="H65" s="22">
        <f t="shared" si="36"/>
        <v>0</v>
      </c>
      <c r="I65" s="22">
        <f>SUM($G$29:G65)-SUM($K$28:K64)</f>
        <v>1383.0974999999953</v>
      </c>
      <c r="J65" s="22"/>
      <c r="K65" s="22">
        <f t="shared" si="32"/>
        <v>0</v>
      </c>
      <c r="L65" s="22">
        <f t="shared" si="33"/>
        <v>0</v>
      </c>
      <c r="M65" s="22">
        <f t="shared" si="34"/>
        <v>0</v>
      </c>
    </row>
    <row r="66" spans="1:13" x14ac:dyDescent="0.25">
      <c r="A66">
        <f t="shared" si="30"/>
        <v>38</v>
      </c>
      <c r="B66" t="s">
        <v>40</v>
      </c>
      <c r="C66">
        <f t="shared" si="22"/>
        <v>2</v>
      </c>
      <c r="D66">
        <f t="shared" si="23"/>
        <v>0</v>
      </c>
      <c r="E66" s="17">
        <f t="shared" si="24"/>
        <v>16306</v>
      </c>
      <c r="F66" s="20">
        <f t="shared" si="35"/>
        <v>5.6249999999999998E-3</v>
      </c>
      <c r="G66" s="22">
        <f t="shared" si="31"/>
        <v>91.721249999999998</v>
      </c>
      <c r="H66" s="22">
        <f t="shared" si="36"/>
        <v>0</v>
      </c>
      <c r="I66" s="22">
        <f>SUM($G$29:G66)-SUM($K$28:K65)</f>
        <v>1474.8187499999949</v>
      </c>
      <c r="J66" s="22"/>
      <c r="K66" s="22">
        <f t="shared" si="32"/>
        <v>0</v>
      </c>
      <c r="L66" s="22">
        <f t="shared" si="33"/>
        <v>0</v>
      </c>
      <c r="M66" s="22">
        <f t="shared" si="34"/>
        <v>0</v>
      </c>
    </row>
    <row r="67" spans="1:13" x14ac:dyDescent="0.25">
      <c r="A67">
        <f t="shared" si="30"/>
        <v>39</v>
      </c>
      <c r="B67" t="s">
        <v>40</v>
      </c>
      <c r="C67">
        <f t="shared" si="22"/>
        <v>2</v>
      </c>
      <c r="D67">
        <f t="shared" si="23"/>
        <v>0</v>
      </c>
      <c r="E67" s="17">
        <f t="shared" si="24"/>
        <v>16306</v>
      </c>
      <c r="F67" s="20">
        <f t="shared" si="35"/>
        <v>5.6249999999999998E-3</v>
      </c>
      <c r="G67" s="22">
        <f t="shared" si="31"/>
        <v>91.721249999999998</v>
      </c>
      <c r="H67" s="22">
        <f t="shared" si="36"/>
        <v>0</v>
      </c>
      <c r="I67" s="22">
        <f>SUM($G$29:G67)-SUM($K$28:K66)</f>
        <v>1566.5399999999945</v>
      </c>
      <c r="J67" s="22"/>
      <c r="K67" s="22">
        <f t="shared" si="32"/>
        <v>0</v>
      </c>
      <c r="L67" s="22">
        <f t="shared" si="33"/>
        <v>0</v>
      </c>
      <c r="M67" s="22">
        <f t="shared" si="34"/>
        <v>0</v>
      </c>
    </row>
    <row r="68" spans="1:13" x14ac:dyDescent="0.25">
      <c r="A68">
        <f t="shared" si="30"/>
        <v>40</v>
      </c>
      <c r="B68" t="s">
        <v>40</v>
      </c>
      <c r="C68">
        <f t="shared" si="22"/>
        <v>2</v>
      </c>
      <c r="D68">
        <f t="shared" si="23"/>
        <v>0</v>
      </c>
      <c r="E68" s="17">
        <f t="shared" si="24"/>
        <v>16306</v>
      </c>
      <c r="F68" s="20">
        <f t="shared" si="35"/>
        <v>5.6249999999999998E-3</v>
      </c>
      <c r="G68" s="22">
        <f t="shared" si="31"/>
        <v>91.721249999999998</v>
      </c>
      <c r="H68" s="22">
        <f t="shared" si="36"/>
        <v>0</v>
      </c>
      <c r="I68" s="22">
        <f>SUM($G$29:G68)-SUM($K$28:K67)</f>
        <v>1658.2612499999941</v>
      </c>
      <c r="J68" s="22"/>
      <c r="K68" s="22">
        <f t="shared" si="32"/>
        <v>0</v>
      </c>
      <c r="L68" s="22">
        <f t="shared" si="33"/>
        <v>0</v>
      </c>
      <c r="M68" s="22">
        <f t="shared" si="34"/>
        <v>0</v>
      </c>
    </row>
    <row r="69" spans="1:13" x14ac:dyDescent="0.25">
      <c r="A69">
        <f t="shared" si="30"/>
        <v>41</v>
      </c>
      <c r="B69" t="s">
        <v>40</v>
      </c>
      <c r="C69">
        <f t="shared" si="22"/>
        <v>2</v>
      </c>
      <c r="D69">
        <f t="shared" si="23"/>
        <v>1</v>
      </c>
      <c r="E69" s="17">
        <f t="shared" si="24"/>
        <v>16306</v>
      </c>
      <c r="F69" s="20">
        <f t="shared" si="35"/>
        <v>5.6249999999999998E-3</v>
      </c>
      <c r="G69" s="22">
        <f t="shared" si="31"/>
        <v>91.721249999999998</v>
      </c>
      <c r="H69" s="22">
        <f t="shared" si="36"/>
        <v>0</v>
      </c>
      <c r="I69" s="22">
        <f>SUM($G$29:G69)-SUM($K$28:K68)</f>
        <v>1749.9824999999937</v>
      </c>
      <c r="J69" s="22">
        <f>H69+I69</f>
        <v>1749.9824999999937</v>
      </c>
      <c r="K69" s="22">
        <f t="shared" si="32"/>
        <v>1749.9824999999937</v>
      </c>
      <c r="L69" s="22">
        <f t="shared" si="33"/>
        <v>0</v>
      </c>
      <c r="M69" s="22">
        <f t="shared" si="34"/>
        <v>0</v>
      </c>
    </row>
    <row r="70" spans="1:13" x14ac:dyDescent="0.25">
      <c r="A70">
        <f t="shared" si="30"/>
        <v>42</v>
      </c>
      <c r="B70" t="s">
        <v>40</v>
      </c>
      <c r="C70">
        <f t="shared" si="22"/>
        <v>3</v>
      </c>
      <c r="D70">
        <f t="shared" si="23"/>
        <v>0</v>
      </c>
      <c r="E70" s="17">
        <f t="shared" si="24"/>
        <v>16306</v>
      </c>
      <c r="F70" s="20">
        <f t="shared" si="35"/>
        <v>4.2187500000000003E-3</v>
      </c>
      <c r="G70" s="22">
        <f t="shared" si="31"/>
        <v>68.790937499999998</v>
      </c>
      <c r="H70" s="22">
        <f t="shared" si="36"/>
        <v>2466.8295090829524</v>
      </c>
      <c r="I70" s="22">
        <f>SUM($G$29:G70)-SUM($K$28:K69)</f>
        <v>68.790937499999927</v>
      </c>
      <c r="J70" s="22"/>
      <c r="K70" s="22">
        <f t="shared" si="32"/>
        <v>0</v>
      </c>
      <c r="L70" s="22">
        <f t="shared" si="33"/>
        <v>0</v>
      </c>
      <c r="M70" s="22">
        <f t="shared" si="34"/>
        <v>0</v>
      </c>
    </row>
    <row r="71" spans="1:13" x14ac:dyDescent="0.25">
      <c r="A71">
        <f t="shared" si="30"/>
        <v>43</v>
      </c>
      <c r="B71" t="s">
        <v>40</v>
      </c>
      <c r="C71">
        <f t="shared" si="22"/>
        <v>3</v>
      </c>
      <c r="D71">
        <f t="shared" si="23"/>
        <v>0</v>
      </c>
      <c r="E71" s="17">
        <f t="shared" si="24"/>
        <v>16306</v>
      </c>
      <c r="F71" s="20">
        <f t="shared" si="35"/>
        <v>4.2187500000000003E-3</v>
      </c>
      <c r="G71" s="22">
        <f t="shared" si="31"/>
        <v>68.790937499999998</v>
      </c>
      <c r="H71" s="22">
        <f t="shared" si="36"/>
        <v>2466.8295090829524</v>
      </c>
      <c r="I71" s="22">
        <f>SUM($G$29:G71)-SUM($K$28:K70)</f>
        <v>137.58187499999985</v>
      </c>
      <c r="J71" s="22"/>
      <c r="K71" s="22">
        <f t="shared" si="32"/>
        <v>0</v>
      </c>
      <c r="L71" s="22">
        <f t="shared" si="33"/>
        <v>0</v>
      </c>
      <c r="M71" s="22">
        <f t="shared" si="34"/>
        <v>0</v>
      </c>
    </row>
    <row r="72" spans="1:13" x14ac:dyDescent="0.25">
      <c r="A72">
        <f t="shared" si="30"/>
        <v>44</v>
      </c>
      <c r="B72" t="s">
        <v>40</v>
      </c>
      <c r="C72">
        <f t="shared" si="22"/>
        <v>3</v>
      </c>
      <c r="D72">
        <f t="shared" si="23"/>
        <v>0</v>
      </c>
      <c r="E72" s="17">
        <f t="shared" si="24"/>
        <v>16306</v>
      </c>
      <c r="F72" s="20">
        <f t="shared" si="35"/>
        <v>4.2187500000000003E-3</v>
      </c>
      <c r="G72" s="22">
        <f t="shared" si="31"/>
        <v>68.790937499999998</v>
      </c>
      <c r="H72" s="22">
        <f t="shared" si="36"/>
        <v>2466.8295090829524</v>
      </c>
      <c r="I72" s="22">
        <f>SUM($G$29:G72)-SUM($K$28:K71)</f>
        <v>206.37281249999978</v>
      </c>
      <c r="J72" s="22"/>
      <c r="K72" s="22">
        <f t="shared" si="32"/>
        <v>0</v>
      </c>
      <c r="L72" s="22">
        <f t="shared" si="33"/>
        <v>0</v>
      </c>
      <c r="M72" s="22">
        <f t="shared" si="34"/>
        <v>0</v>
      </c>
    </row>
    <row r="73" spans="1:13" x14ac:dyDescent="0.25">
      <c r="A73">
        <f t="shared" si="30"/>
        <v>45</v>
      </c>
      <c r="B73" t="s">
        <v>40</v>
      </c>
      <c r="C73">
        <f t="shared" si="22"/>
        <v>3</v>
      </c>
      <c r="D73">
        <f t="shared" si="23"/>
        <v>0</v>
      </c>
      <c r="E73" s="17">
        <f t="shared" si="24"/>
        <v>16306</v>
      </c>
      <c r="F73" s="20">
        <f t="shared" si="35"/>
        <v>4.2187500000000003E-3</v>
      </c>
      <c r="G73" s="22">
        <f t="shared" si="31"/>
        <v>68.790937499999998</v>
      </c>
      <c r="H73" s="22">
        <f t="shared" si="36"/>
        <v>2466.8295090829524</v>
      </c>
      <c r="I73" s="22">
        <f>SUM($G$29:G73)-SUM($K$28:K72)</f>
        <v>275.16374999999971</v>
      </c>
      <c r="J73" s="22"/>
      <c r="K73" s="22">
        <f t="shared" si="32"/>
        <v>0</v>
      </c>
      <c r="L73" s="22">
        <f t="shared" si="33"/>
        <v>0</v>
      </c>
      <c r="M73" s="22">
        <f t="shared" si="34"/>
        <v>0</v>
      </c>
    </row>
    <row r="74" spans="1:13" x14ac:dyDescent="0.25">
      <c r="A74">
        <f t="shared" si="30"/>
        <v>46</v>
      </c>
      <c r="B74" t="s">
        <v>40</v>
      </c>
      <c r="C74">
        <f t="shared" si="22"/>
        <v>3</v>
      </c>
      <c r="D74">
        <f t="shared" si="23"/>
        <v>0</v>
      </c>
      <c r="E74" s="17">
        <f t="shared" si="24"/>
        <v>16306</v>
      </c>
      <c r="F74" s="20">
        <f t="shared" si="35"/>
        <v>4.2187500000000003E-3</v>
      </c>
      <c r="G74" s="22">
        <f t="shared" si="31"/>
        <v>68.790937499999998</v>
      </c>
      <c r="H74" s="22">
        <f t="shared" si="36"/>
        <v>2466.8295090829524</v>
      </c>
      <c r="I74" s="22">
        <f>SUM($G$29:G74)-SUM($K$28:K73)</f>
        <v>343.95468749999964</v>
      </c>
      <c r="J74" s="22"/>
      <c r="K74" s="22">
        <f t="shared" si="32"/>
        <v>0</v>
      </c>
      <c r="L74" s="22">
        <f t="shared" si="33"/>
        <v>0</v>
      </c>
      <c r="M74" s="22">
        <f t="shared" si="34"/>
        <v>0</v>
      </c>
    </row>
    <row r="75" spans="1:13" x14ac:dyDescent="0.25">
      <c r="A75">
        <f t="shared" si="30"/>
        <v>47</v>
      </c>
      <c r="B75" t="s">
        <v>40</v>
      </c>
      <c r="C75">
        <f t="shared" si="22"/>
        <v>3</v>
      </c>
      <c r="D75">
        <f t="shared" si="23"/>
        <v>0</v>
      </c>
      <c r="E75" s="17">
        <f t="shared" si="24"/>
        <v>16306</v>
      </c>
      <c r="F75" s="20">
        <f t="shared" si="35"/>
        <v>4.2187500000000003E-3</v>
      </c>
      <c r="G75" s="22">
        <f t="shared" si="31"/>
        <v>68.790937499999998</v>
      </c>
      <c r="H75" s="22">
        <f t="shared" si="36"/>
        <v>2466.8295090829524</v>
      </c>
      <c r="I75" s="22">
        <f>SUM($G$29:G75)-SUM($K$28:K74)</f>
        <v>412.74562499999956</v>
      </c>
      <c r="J75" s="22"/>
      <c r="K75" s="22">
        <f t="shared" si="32"/>
        <v>0</v>
      </c>
      <c r="L75" s="22">
        <f t="shared" si="33"/>
        <v>0</v>
      </c>
      <c r="M75" s="22">
        <f t="shared" si="34"/>
        <v>0</v>
      </c>
    </row>
    <row r="76" spans="1:13" x14ac:dyDescent="0.25">
      <c r="A76">
        <f t="shared" si="30"/>
        <v>48</v>
      </c>
      <c r="B76" t="s">
        <v>40</v>
      </c>
      <c r="C76">
        <f t="shared" si="22"/>
        <v>3</v>
      </c>
      <c r="D76">
        <f t="shared" si="23"/>
        <v>0</v>
      </c>
      <c r="E76" s="17">
        <f t="shared" si="24"/>
        <v>16306</v>
      </c>
      <c r="F76" s="20">
        <f t="shared" si="35"/>
        <v>4.2187500000000003E-3</v>
      </c>
      <c r="G76" s="22">
        <f t="shared" si="31"/>
        <v>68.790937499999998</v>
      </c>
      <c r="H76" s="22">
        <f t="shared" si="36"/>
        <v>2466.8295090829524</v>
      </c>
      <c r="I76" s="22">
        <f>SUM($G$29:G76)-SUM($K$28:K75)</f>
        <v>481.53656249999949</v>
      </c>
      <c r="J76" s="22"/>
      <c r="K76" s="22">
        <f t="shared" si="32"/>
        <v>0</v>
      </c>
      <c r="L76" s="22">
        <f t="shared" si="33"/>
        <v>0</v>
      </c>
      <c r="M76" s="22">
        <f t="shared" si="34"/>
        <v>0</v>
      </c>
    </row>
    <row r="77" spans="1:13" x14ac:dyDescent="0.25">
      <c r="A77">
        <f t="shared" si="30"/>
        <v>49</v>
      </c>
      <c r="B77" t="s">
        <v>40</v>
      </c>
      <c r="C77">
        <f t="shared" si="22"/>
        <v>3</v>
      </c>
      <c r="D77">
        <f t="shared" si="23"/>
        <v>0</v>
      </c>
      <c r="E77" s="17">
        <f t="shared" si="24"/>
        <v>16306</v>
      </c>
      <c r="F77" s="20">
        <f t="shared" si="35"/>
        <v>4.2187500000000003E-3</v>
      </c>
      <c r="G77" s="22">
        <f t="shared" si="31"/>
        <v>68.790937499999998</v>
      </c>
      <c r="H77" s="22">
        <f t="shared" si="36"/>
        <v>2466.8295090829524</v>
      </c>
      <c r="I77" s="22">
        <f>SUM($G$29:G77)-SUM($K$28:K76)</f>
        <v>550.32749999999942</v>
      </c>
      <c r="J77" s="22"/>
      <c r="K77" s="22">
        <f t="shared" si="32"/>
        <v>0</v>
      </c>
      <c r="L77" s="22">
        <f t="shared" si="33"/>
        <v>0</v>
      </c>
      <c r="M77" s="22">
        <f t="shared" si="34"/>
        <v>0</v>
      </c>
    </row>
    <row r="78" spans="1:13" x14ac:dyDescent="0.25">
      <c r="A78">
        <f t="shared" si="30"/>
        <v>50</v>
      </c>
      <c r="B78" t="s">
        <v>40</v>
      </c>
      <c r="C78">
        <f t="shared" si="22"/>
        <v>3</v>
      </c>
      <c r="D78">
        <f t="shared" si="23"/>
        <v>0</v>
      </c>
      <c r="E78" s="17">
        <f t="shared" si="24"/>
        <v>16306</v>
      </c>
      <c r="F78" s="20">
        <f t="shared" si="35"/>
        <v>4.2187500000000003E-3</v>
      </c>
      <c r="G78" s="22">
        <f t="shared" si="31"/>
        <v>68.790937499999998</v>
      </c>
      <c r="H78" s="22">
        <f t="shared" si="36"/>
        <v>2466.8295090829524</v>
      </c>
      <c r="I78" s="22">
        <f>SUM($G$29:G78)-SUM($K$28:K77)</f>
        <v>619.11843749999935</v>
      </c>
      <c r="J78" s="22"/>
      <c r="K78" s="22">
        <f t="shared" si="32"/>
        <v>0</v>
      </c>
      <c r="L78" s="22">
        <f t="shared" si="33"/>
        <v>0</v>
      </c>
      <c r="M78" s="22">
        <f t="shared" si="34"/>
        <v>0</v>
      </c>
    </row>
    <row r="79" spans="1:13" x14ac:dyDescent="0.25">
      <c r="A79">
        <f t="shared" si="30"/>
        <v>51</v>
      </c>
      <c r="B79" t="s">
        <v>40</v>
      </c>
      <c r="C79">
        <f t="shared" si="22"/>
        <v>3</v>
      </c>
      <c r="D79">
        <f t="shared" si="23"/>
        <v>0</v>
      </c>
      <c r="E79" s="17">
        <f t="shared" si="24"/>
        <v>16306</v>
      </c>
      <c r="F79" s="20">
        <f t="shared" si="35"/>
        <v>4.2187500000000003E-3</v>
      </c>
      <c r="G79" s="22">
        <f t="shared" si="31"/>
        <v>68.790937499999998</v>
      </c>
      <c r="H79" s="22">
        <f t="shared" si="36"/>
        <v>2466.8295090829524</v>
      </c>
      <c r="I79" s="22">
        <f>SUM($G$29:G79)-SUM($K$28:K78)</f>
        <v>687.90937499999927</v>
      </c>
      <c r="J79" s="22"/>
      <c r="K79" s="22">
        <f t="shared" si="32"/>
        <v>0</v>
      </c>
      <c r="L79" s="22">
        <f t="shared" si="33"/>
        <v>0</v>
      </c>
      <c r="M79" s="22">
        <f t="shared" si="34"/>
        <v>0</v>
      </c>
    </row>
    <row r="80" spans="1:13" x14ac:dyDescent="0.25">
      <c r="A80">
        <f t="shared" si="30"/>
        <v>52</v>
      </c>
      <c r="B80" t="s">
        <v>40</v>
      </c>
      <c r="C80">
        <f t="shared" si="22"/>
        <v>3</v>
      </c>
      <c r="D80">
        <f t="shared" si="23"/>
        <v>0</v>
      </c>
      <c r="E80" s="17">
        <f t="shared" si="24"/>
        <v>16306</v>
      </c>
      <c r="F80" s="20">
        <f t="shared" si="35"/>
        <v>4.2187500000000003E-3</v>
      </c>
      <c r="G80" s="22">
        <f t="shared" si="31"/>
        <v>68.790937499999998</v>
      </c>
      <c r="H80" s="22">
        <f t="shared" si="36"/>
        <v>2466.8295090829524</v>
      </c>
      <c r="I80" s="22">
        <f>SUM($G$29:G80)-SUM($K$28:K79)</f>
        <v>756.7003124999992</v>
      </c>
      <c r="J80" s="22"/>
      <c r="K80" s="22">
        <f t="shared" si="32"/>
        <v>0</v>
      </c>
      <c r="L80" s="22">
        <f t="shared" si="33"/>
        <v>0</v>
      </c>
      <c r="M80" s="22">
        <f t="shared" si="34"/>
        <v>0</v>
      </c>
    </row>
    <row r="81" spans="1:13" x14ac:dyDescent="0.25">
      <c r="A81">
        <f t="shared" si="30"/>
        <v>53</v>
      </c>
      <c r="B81" t="s">
        <v>40</v>
      </c>
      <c r="C81">
        <f t="shared" si="22"/>
        <v>3</v>
      </c>
      <c r="D81">
        <f t="shared" si="23"/>
        <v>0</v>
      </c>
      <c r="E81" s="17">
        <f t="shared" si="24"/>
        <v>16306</v>
      </c>
      <c r="F81" s="20">
        <f t="shared" si="35"/>
        <v>4.2187500000000003E-3</v>
      </c>
      <c r="G81" s="22">
        <f t="shared" si="31"/>
        <v>68.790937499999998</v>
      </c>
      <c r="H81" s="22">
        <f t="shared" si="36"/>
        <v>2466.8295090829524</v>
      </c>
      <c r="I81" s="22">
        <f>SUM($G$29:G81)-SUM($K$28:K80)</f>
        <v>825.49124999999913</v>
      </c>
      <c r="J81" s="22"/>
      <c r="K81" s="22">
        <f t="shared" si="32"/>
        <v>0</v>
      </c>
      <c r="L81" s="22">
        <f t="shared" si="33"/>
        <v>0</v>
      </c>
      <c r="M81" s="22">
        <f t="shared" si="34"/>
        <v>0</v>
      </c>
    </row>
    <row r="82" spans="1:13" x14ac:dyDescent="0.25">
      <c r="A82">
        <f t="shared" si="30"/>
        <v>54</v>
      </c>
      <c r="B82" t="s">
        <v>40</v>
      </c>
      <c r="C82">
        <f t="shared" si="22"/>
        <v>3</v>
      </c>
      <c r="D82">
        <f t="shared" si="23"/>
        <v>0</v>
      </c>
      <c r="E82" s="17">
        <f t="shared" si="24"/>
        <v>16306</v>
      </c>
      <c r="F82" s="20">
        <f t="shared" si="35"/>
        <v>4.2187500000000003E-3</v>
      </c>
      <c r="G82" s="22">
        <f t="shared" si="31"/>
        <v>68.790937499999998</v>
      </c>
      <c r="H82" s="22">
        <f t="shared" si="36"/>
        <v>2466.8295090829524</v>
      </c>
      <c r="I82" s="22">
        <f>SUM($G$29:G82)-SUM($K$28:K81)</f>
        <v>894.28218749999905</v>
      </c>
      <c r="J82" s="22"/>
      <c r="K82" s="22">
        <f t="shared" si="32"/>
        <v>0</v>
      </c>
      <c r="L82" s="22">
        <f t="shared" si="33"/>
        <v>0</v>
      </c>
      <c r="M82" s="22">
        <f t="shared" si="34"/>
        <v>0</v>
      </c>
    </row>
    <row r="83" spans="1:13" x14ac:dyDescent="0.25">
      <c r="A83">
        <f t="shared" si="30"/>
        <v>55</v>
      </c>
      <c r="B83" t="s">
        <v>40</v>
      </c>
      <c r="C83">
        <f t="shared" si="22"/>
        <v>3</v>
      </c>
      <c r="D83">
        <f t="shared" si="23"/>
        <v>1</v>
      </c>
      <c r="E83" s="17">
        <f t="shared" si="24"/>
        <v>16306</v>
      </c>
      <c r="F83" s="20">
        <f t="shared" si="35"/>
        <v>4.2187500000000003E-3</v>
      </c>
      <c r="G83" s="22">
        <f t="shared" si="31"/>
        <v>68.790937499999998</v>
      </c>
      <c r="H83" s="22">
        <f t="shared" si="36"/>
        <v>2466.8295090829524</v>
      </c>
      <c r="I83" s="22">
        <f>SUM($G$29:G83)-SUM($K$28:K82)</f>
        <v>963.07312499999898</v>
      </c>
      <c r="J83" s="22">
        <f>H83+I83</f>
        <v>3429.9026340829514</v>
      </c>
      <c r="K83" s="22">
        <f t="shared" si="32"/>
        <v>963.07312499999898</v>
      </c>
      <c r="L83" s="22">
        <f t="shared" si="33"/>
        <v>2466.8295090829524</v>
      </c>
      <c r="M83" s="22">
        <f t="shared" si="34"/>
        <v>0</v>
      </c>
    </row>
    <row r="84" spans="1:13" x14ac:dyDescent="0.25">
      <c r="A84">
        <f t="shared" si="30"/>
        <v>56</v>
      </c>
      <c r="B84" t="s">
        <v>40</v>
      </c>
      <c r="C84">
        <f t="shared" si="22"/>
        <v>4</v>
      </c>
      <c r="D84">
        <f t="shared" si="23"/>
        <v>0</v>
      </c>
      <c r="E84" s="17">
        <f t="shared" si="24"/>
        <v>13839.170490917048</v>
      </c>
      <c r="F84" s="20">
        <f t="shared" si="35"/>
        <v>3.1640625000000002E-3</v>
      </c>
      <c r="G84" s="22">
        <f t="shared" si="31"/>
        <v>51.593203125000002</v>
      </c>
      <c r="H84" s="22">
        <f t="shared" si="36"/>
        <v>2812.1856403545662</v>
      </c>
      <c r="I84" s="22">
        <f>SUM($G$29:G84)-SUM($K$28:K83)</f>
        <v>51.5932031250004</v>
      </c>
      <c r="J84" s="22"/>
      <c r="K84" s="22">
        <f t="shared" si="32"/>
        <v>0</v>
      </c>
      <c r="L84" s="22">
        <f t="shared" si="33"/>
        <v>0</v>
      </c>
      <c r="M84" s="22">
        <f t="shared" si="34"/>
        <v>0</v>
      </c>
    </row>
    <row r="85" spans="1:13" x14ac:dyDescent="0.25">
      <c r="A85">
        <f t="shared" si="30"/>
        <v>57</v>
      </c>
      <c r="B85" t="s">
        <v>40</v>
      </c>
      <c r="C85">
        <f t="shared" si="22"/>
        <v>4</v>
      </c>
      <c r="D85">
        <f t="shared" si="23"/>
        <v>0</v>
      </c>
      <c r="E85" s="17">
        <f t="shared" si="24"/>
        <v>13839.170490917048</v>
      </c>
      <c r="F85" s="20">
        <f t="shared" si="35"/>
        <v>3.1640625000000002E-3</v>
      </c>
      <c r="G85" s="22">
        <f t="shared" si="31"/>
        <v>43.788000381417227</v>
      </c>
      <c r="H85" s="22">
        <f t="shared" si="36"/>
        <v>2812.1856403545662</v>
      </c>
      <c r="I85" s="22">
        <f>SUM($G$29:G85)-SUM($K$28:K84)</f>
        <v>95.381203506417478</v>
      </c>
      <c r="J85" s="22"/>
      <c r="K85" s="22">
        <f t="shared" si="32"/>
        <v>0</v>
      </c>
      <c r="L85" s="22">
        <f t="shared" si="33"/>
        <v>0</v>
      </c>
      <c r="M85" s="22">
        <f t="shared" si="34"/>
        <v>0</v>
      </c>
    </row>
    <row r="86" spans="1:13" x14ac:dyDescent="0.25">
      <c r="A86">
        <f t="shared" si="30"/>
        <v>58</v>
      </c>
      <c r="B86" t="s">
        <v>40</v>
      </c>
      <c r="C86">
        <f t="shared" si="22"/>
        <v>4</v>
      </c>
      <c r="D86">
        <f t="shared" si="23"/>
        <v>0</v>
      </c>
      <c r="E86" s="17">
        <f t="shared" si="24"/>
        <v>13839.170490917048</v>
      </c>
      <c r="F86" s="20">
        <f t="shared" si="35"/>
        <v>3.1640625000000002E-3</v>
      </c>
      <c r="G86" s="22">
        <f t="shared" si="31"/>
        <v>43.788000381417227</v>
      </c>
      <c r="H86" s="22">
        <f t="shared" si="36"/>
        <v>2812.1856403545662</v>
      </c>
      <c r="I86" s="22">
        <f>SUM($G$29:G86)-SUM($K$28:K85)</f>
        <v>139.16920388783456</v>
      </c>
      <c r="J86" s="22"/>
      <c r="K86" s="22">
        <f t="shared" si="32"/>
        <v>0</v>
      </c>
      <c r="L86" s="22">
        <f t="shared" si="33"/>
        <v>0</v>
      </c>
      <c r="M86" s="22">
        <f t="shared" si="34"/>
        <v>0</v>
      </c>
    </row>
    <row r="87" spans="1:13" x14ac:dyDescent="0.25">
      <c r="A87">
        <f t="shared" si="30"/>
        <v>59</v>
      </c>
      <c r="B87" t="s">
        <v>40</v>
      </c>
      <c r="C87">
        <f t="shared" si="22"/>
        <v>4</v>
      </c>
      <c r="D87">
        <f t="shared" si="23"/>
        <v>0</v>
      </c>
      <c r="E87" s="17">
        <f t="shared" si="24"/>
        <v>13839.170490917048</v>
      </c>
      <c r="F87" s="20">
        <f t="shared" si="35"/>
        <v>3.1640625000000002E-3</v>
      </c>
      <c r="G87" s="22">
        <f t="shared" si="31"/>
        <v>43.788000381417227</v>
      </c>
      <c r="H87" s="22">
        <f t="shared" si="36"/>
        <v>2812.1856403545662</v>
      </c>
      <c r="I87" s="22">
        <f>SUM($G$29:G87)-SUM($K$28:K86)</f>
        <v>182.95720426925163</v>
      </c>
      <c r="J87" s="22"/>
      <c r="K87" s="22">
        <f t="shared" si="32"/>
        <v>0</v>
      </c>
      <c r="L87" s="22">
        <f t="shared" si="33"/>
        <v>0</v>
      </c>
      <c r="M87" s="22">
        <f t="shared" si="34"/>
        <v>0</v>
      </c>
    </row>
    <row r="88" spans="1:13" x14ac:dyDescent="0.25">
      <c r="A88">
        <f t="shared" si="30"/>
        <v>60</v>
      </c>
      <c r="B88" t="s">
        <v>40</v>
      </c>
      <c r="C88">
        <f t="shared" si="22"/>
        <v>4</v>
      </c>
      <c r="D88">
        <f t="shared" si="23"/>
        <v>0</v>
      </c>
      <c r="E88" s="17">
        <f t="shared" si="24"/>
        <v>13839.170490917048</v>
      </c>
      <c r="F88" s="20">
        <f t="shared" si="35"/>
        <v>3.1640625000000002E-3</v>
      </c>
      <c r="G88" s="22">
        <f t="shared" si="31"/>
        <v>43.788000381417227</v>
      </c>
      <c r="H88" s="22">
        <f t="shared" si="36"/>
        <v>2812.1856403545662</v>
      </c>
      <c r="I88" s="22">
        <f>SUM($G$29:G88)-SUM($K$28:K87)</f>
        <v>226.74520465066871</v>
      </c>
      <c r="J88" s="22"/>
      <c r="K88" s="22">
        <f t="shared" si="32"/>
        <v>0</v>
      </c>
      <c r="L88" s="22">
        <f t="shared" si="33"/>
        <v>0</v>
      </c>
      <c r="M88" s="22">
        <f t="shared" si="34"/>
        <v>0</v>
      </c>
    </row>
    <row r="89" spans="1:13" x14ac:dyDescent="0.25">
      <c r="A89">
        <f t="shared" si="30"/>
        <v>61</v>
      </c>
      <c r="B89" t="s">
        <v>40</v>
      </c>
      <c r="C89">
        <f t="shared" si="22"/>
        <v>4</v>
      </c>
      <c r="D89">
        <f t="shared" si="23"/>
        <v>0</v>
      </c>
      <c r="E89" s="17">
        <f t="shared" si="24"/>
        <v>13839.170490917048</v>
      </c>
      <c r="F89" s="20">
        <f t="shared" si="35"/>
        <v>3.1640625000000002E-3</v>
      </c>
      <c r="G89" s="22">
        <f t="shared" si="31"/>
        <v>43.788000381417227</v>
      </c>
      <c r="H89" s="22">
        <f t="shared" si="36"/>
        <v>2812.1856403545662</v>
      </c>
      <c r="I89" s="22">
        <f>SUM($G$29:G89)-SUM($K$28:K88)</f>
        <v>270.53320503208579</v>
      </c>
      <c r="J89" s="22"/>
      <c r="K89" s="22">
        <f t="shared" si="32"/>
        <v>0</v>
      </c>
      <c r="L89" s="22">
        <f t="shared" si="33"/>
        <v>0</v>
      </c>
      <c r="M89" s="22">
        <f t="shared" si="34"/>
        <v>0</v>
      </c>
    </row>
    <row r="90" spans="1:13" x14ac:dyDescent="0.25">
      <c r="A90">
        <f t="shared" si="30"/>
        <v>62</v>
      </c>
      <c r="B90" t="s">
        <v>40</v>
      </c>
      <c r="C90">
        <f t="shared" si="22"/>
        <v>4</v>
      </c>
      <c r="D90">
        <f t="shared" si="23"/>
        <v>0</v>
      </c>
      <c r="E90" s="17">
        <f t="shared" si="24"/>
        <v>13839.170490917048</v>
      </c>
      <c r="F90" s="20">
        <f t="shared" si="35"/>
        <v>3.1640625000000002E-3</v>
      </c>
      <c r="G90" s="22">
        <f t="shared" si="31"/>
        <v>43.788000381417227</v>
      </c>
      <c r="H90" s="22">
        <f t="shared" si="36"/>
        <v>2812.1856403545662</v>
      </c>
      <c r="I90" s="22">
        <f>SUM($G$29:G90)-SUM($K$28:K89)</f>
        <v>314.32120541350287</v>
      </c>
      <c r="J90" s="22"/>
      <c r="K90" s="22">
        <f t="shared" si="32"/>
        <v>0</v>
      </c>
      <c r="L90" s="22">
        <f t="shared" si="33"/>
        <v>0</v>
      </c>
      <c r="M90" s="22">
        <f t="shared" si="34"/>
        <v>0</v>
      </c>
    </row>
    <row r="91" spans="1:13" x14ac:dyDescent="0.25">
      <c r="A91">
        <f t="shared" si="30"/>
        <v>63</v>
      </c>
      <c r="B91" t="s">
        <v>40</v>
      </c>
      <c r="C91">
        <f t="shared" si="22"/>
        <v>4</v>
      </c>
      <c r="D91">
        <f t="shared" si="23"/>
        <v>0</v>
      </c>
      <c r="E91" s="17">
        <f t="shared" si="24"/>
        <v>13839.170490917048</v>
      </c>
      <c r="F91" s="20">
        <f t="shared" si="35"/>
        <v>3.1640625000000002E-3</v>
      </c>
      <c r="G91" s="22">
        <f t="shared" si="31"/>
        <v>43.788000381417227</v>
      </c>
      <c r="H91" s="22">
        <f t="shared" si="36"/>
        <v>2812.1856403545662</v>
      </c>
      <c r="I91" s="22">
        <f>SUM($G$29:G91)-SUM($K$28:K90)</f>
        <v>358.10920579491994</v>
      </c>
      <c r="J91" s="22"/>
      <c r="K91" s="22">
        <f t="shared" si="32"/>
        <v>0</v>
      </c>
      <c r="L91" s="22">
        <f t="shared" si="33"/>
        <v>0</v>
      </c>
      <c r="M91" s="22">
        <f t="shared" si="34"/>
        <v>0</v>
      </c>
    </row>
    <row r="92" spans="1:13" x14ac:dyDescent="0.25">
      <c r="A92">
        <f t="shared" si="30"/>
        <v>64</v>
      </c>
      <c r="B92" t="s">
        <v>40</v>
      </c>
      <c r="C92">
        <f t="shared" si="22"/>
        <v>4</v>
      </c>
      <c r="D92">
        <f t="shared" si="23"/>
        <v>0</v>
      </c>
      <c r="E92" s="17">
        <f t="shared" si="24"/>
        <v>13839.170490917048</v>
      </c>
      <c r="F92" s="20">
        <f t="shared" si="35"/>
        <v>3.1640625000000002E-3</v>
      </c>
      <c r="G92" s="22">
        <f t="shared" si="31"/>
        <v>43.788000381417227</v>
      </c>
      <c r="H92" s="22">
        <f t="shared" si="36"/>
        <v>2812.1856403545662</v>
      </c>
      <c r="I92" s="22">
        <f>SUM($G$29:G92)-SUM($K$28:K91)</f>
        <v>401.89720617633702</v>
      </c>
      <c r="J92" s="22"/>
      <c r="K92" s="22">
        <f t="shared" si="32"/>
        <v>0</v>
      </c>
      <c r="L92" s="22">
        <f t="shared" si="33"/>
        <v>0</v>
      </c>
      <c r="M92" s="22">
        <f t="shared" si="34"/>
        <v>0</v>
      </c>
    </row>
    <row r="93" spans="1:13" x14ac:dyDescent="0.25">
      <c r="A93">
        <f t="shared" si="30"/>
        <v>65</v>
      </c>
      <c r="B93" t="s">
        <v>40</v>
      </c>
      <c r="C93">
        <f t="shared" si="22"/>
        <v>4</v>
      </c>
      <c r="D93">
        <f t="shared" si="23"/>
        <v>0</v>
      </c>
      <c r="E93" s="17">
        <f t="shared" si="24"/>
        <v>13839.170490917048</v>
      </c>
      <c r="F93" s="20">
        <f t="shared" si="35"/>
        <v>3.1640625000000002E-3</v>
      </c>
      <c r="G93" s="22">
        <f t="shared" si="31"/>
        <v>43.788000381417227</v>
      </c>
      <c r="H93" s="22">
        <f t="shared" si="36"/>
        <v>2812.1856403545662</v>
      </c>
      <c r="I93" s="22">
        <f>SUM($G$29:G93)-SUM($K$28:K92)</f>
        <v>445.6852065577541</v>
      </c>
      <c r="J93" s="22"/>
      <c r="K93" s="22">
        <f t="shared" si="32"/>
        <v>0</v>
      </c>
      <c r="L93" s="22">
        <f t="shared" si="33"/>
        <v>0</v>
      </c>
      <c r="M93" s="22">
        <f t="shared" si="34"/>
        <v>0</v>
      </c>
    </row>
    <row r="94" spans="1:13" x14ac:dyDescent="0.25">
      <c r="A94">
        <f t="shared" si="30"/>
        <v>66</v>
      </c>
      <c r="B94" t="s">
        <v>40</v>
      </c>
      <c r="C94">
        <f t="shared" ref="C94:C157" si="37">IF(B94=B93,INT((A94)/$C$6),C93+1)</f>
        <v>4</v>
      </c>
      <c r="D94">
        <f t="shared" ref="D94:D157" si="38">IF(C94=C95,0,1)</f>
        <v>0</v>
      </c>
      <c r="E94" s="17">
        <f t="shared" ref="E94:E157" si="39">E93-L93</f>
        <v>13839.170490917048</v>
      </c>
      <c r="F94" s="20">
        <f t="shared" si="35"/>
        <v>3.1640625000000002E-3</v>
      </c>
      <c r="G94" s="22">
        <f t="shared" si="31"/>
        <v>43.788000381417227</v>
      </c>
      <c r="H94" s="22">
        <f t="shared" si="36"/>
        <v>2812.1856403545662</v>
      </c>
      <c r="I94" s="22">
        <f>SUM($G$29:G94)-SUM($K$28:K93)</f>
        <v>489.47320693917118</v>
      </c>
      <c r="J94" s="22"/>
      <c r="K94" s="22">
        <f t="shared" si="32"/>
        <v>0</v>
      </c>
      <c r="L94" s="22">
        <f t="shared" si="33"/>
        <v>0</v>
      </c>
      <c r="M94" s="22">
        <f t="shared" si="34"/>
        <v>0</v>
      </c>
    </row>
    <row r="95" spans="1:13" x14ac:dyDescent="0.25">
      <c r="A95">
        <f t="shared" si="30"/>
        <v>67</v>
      </c>
      <c r="B95" t="s">
        <v>40</v>
      </c>
      <c r="C95">
        <f t="shared" si="37"/>
        <v>4</v>
      </c>
      <c r="D95">
        <f t="shared" si="38"/>
        <v>0</v>
      </c>
      <c r="E95" s="17">
        <f t="shared" si="39"/>
        <v>13839.170490917048</v>
      </c>
      <c r="F95" s="20">
        <f t="shared" si="35"/>
        <v>3.1640625000000002E-3</v>
      </c>
      <c r="G95" s="22">
        <f t="shared" si="31"/>
        <v>43.788000381417227</v>
      </c>
      <c r="H95" s="22">
        <f t="shared" si="36"/>
        <v>2812.1856403545662</v>
      </c>
      <c r="I95" s="22">
        <f>SUM($G$29:G95)-SUM($K$28:K94)</f>
        <v>533.26120732058826</v>
      </c>
      <c r="J95" s="22"/>
      <c r="K95" s="22">
        <f t="shared" si="32"/>
        <v>0</v>
      </c>
      <c r="L95" s="22">
        <f t="shared" si="33"/>
        <v>0</v>
      </c>
      <c r="M95" s="22">
        <f t="shared" si="34"/>
        <v>0</v>
      </c>
    </row>
    <row r="96" spans="1:13" x14ac:dyDescent="0.25">
      <c r="A96">
        <f t="shared" si="30"/>
        <v>68</v>
      </c>
      <c r="B96" t="s">
        <v>40</v>
      </c>
      <c r="C96">
        <f t="shared" si="37"/>
        <v>4</v>
      </c>
      <c r="D96">
        <f t="shared" si="38"/>
        <v>0</v>
      </c>
      <c r="E96" s="17">
        <f t="shared" si="39"/>
        <v>13839.170490917048</v>
      </c>
      <c r="F96" s="20">
        <f t="shared" si="35"/>
        <v>3.1640625000000002E-3</v>
      </c>
      <c r="G96" s="22">
        <f t="shared" si="31"/>
        <v>43.788000381417227</v>
      </c>
      <c r="H96" s="22">
        <f t="shared" si="36"/>
        <v>2812.1856403545662</v>
      </c>
      <c r="I96" s="22">
        <f>SUM($G$29:G96)-SUM($K$28:K95)</f>
        <v>577.04920770200533</v>
      </c>
      <c r="J96" s="22"/>
      <c r="K96" s="22">
        <f t="shared" si="32"/>
        <v>0</v>
      </c>
      <c r="L96" s="22">
        <f t="shared" si="33"/>
        <v>0</v>
      </c>
      <c r="M96" s="22">
        <f t="shared" si="34"/>
        <v>0</v>
      </c>
    </row>
    <row r="97" spans="1:13" x14ac:dyDescent="0.25">
      <c r="A97">
        <f t="shared" si="30"/>
        <v>69</v>
      </c>
      <c r="B97" t="s">
        <v>40</v>
      </c>
      <c r="C97">
        <f t="shared" si="37"/>
        <v>4</v>
      </c>
      <c r="D97">
        <f t="shared" si="38"/>
        <v>1</v>
      </c>
      <c r="E97" s="17">
        <f t="shared" si="39"/>
        <v>13839.170490917048</v>
      </c>
      <c r="F97" s="20">
        <f t="shared" si="35"/>
        <v>3.1640625000000002E-3</v>
      </c>
      <c r="G97" s="22">
        <f t="shared" si="31"/>
        <v>43.788000381417227</v>
      </c>
      <c r="H97" s="22">
        <f t="shared" si="36"/>
        <v>2812.1856403545662</v>
      </c>
      <c r="I97" s="22">
        <f>SUM($G$29:G97)-SUM($K$28:K96)</f>
        <v>620.83720808342241</v>
      </c>
      <c r="J97" s="22">
        <f>H97+I97</f>
        <v>3433.0228484379886</v>
      </c>
      <c r="K97" s="22">
        <f t="shared" si="32"/>
        <v>620.83720808342241</v>
      </c>
      <c r="L97" s="22">
        <f t="shared" si="33"/>
        <v>2812.1856403545662</v>
      </c>
      <c r="M97" s="22">
        <f t="shared" si="34"/>
        <v>0</v>
      </c>
    </row>
    <row r="98" spans="1:13" x14ac:dyDescent="0.25">
      <c r="A98">
        <f t="shared" si="30"/>
        <v>70</v>
      </c>
      <c r="B98" t="s">
        <v>40</v>
      </c>
      <c r="C98">
        <f t="shared" si="37"/>
        <v>5</v>
      </c>
      <c r="D98">
        <f t="shared" si="38"/>
        <v>0</v>
      </c>
      <c r="E98" s="17">
        <f t="shared" si="39"/>
        <v>11026.984850562481</v>
      </c>
      <c r="F98" s="20">
        <f t="shared" si="35"/>
        <v>2.3730468750000002E-3</v>
      </c>
      <c r="G98" s="22">
        <f t="shared" si="31"/>
        <v>32.841000286062915</v>
      </c>
      <c r="H98" s="22">
        <f t="shared" si="36"/>
        <v>3205.8916300042051</v>
      </c>
      <c r="I98" s="22">
        <f>SUM($G$29:G98)-SUM($K$28:K97)</f>
        <v>32.841000286062808</v>
      </c>
      <c r="J98" s="22"/>
      <c r="K98" s="22">
        <f t="shared" si="32"/>
        <v>0</v>
      </c>
      <c r="L98" s="22">
        <f t="shared" si="33"/>
        <v>0</v>
      </c>
      <c r="M98" s="22">
        <f t="shared" si="34"/>
        <v>0</v>
      </c>
    </row>
    <row r="99" spans="1:13" x14ac:dyDescent="0.25">
      <c r="A99">
        <f t="shared" si="30"/>
        <v>71</v>
      </c>
      <c r="B99" t="s">
        <v>40</v>
      </c>
      <c r="C99">
        <f t="shared" si="37"/>
        <v>5</v>
      </c>
      <c r="D99">
        <f t="shared" si="38"/>
        <v>0</v>
      </c>
      <c r="E99" s="17">
        <f t="shared" si="39"/>
        <v>11026.984850562481</v>
      </c>
      <c r="F99" s="20">
        <f t="shared" si="35"/>
        <v>2.3730468750000002E-3</v>
      </c>
      <c r="G99" s="22">
        <f t="shared" si="31"/>
        <v>26.167551940299639</v>
      </c>
      <c r="H99" s="22">
        <f t="shared" si="36"/>
        <v>3205.8916300042051</v>
      </c>
      <c r="I99" s="22">
        <f>SUM($G$29:G99)-SUM($K$28:K98)</f>
        <v>59.008552226362553</v>
      </c>
      <c r="J99" s="22"/>
      <c r="K99" s="22">
        <f t="shared" si="32"/>
        <v>0</v>
      </c>
      <c r="L99" s="22">
        <f t="shared" si="33"/>
        <v>0</v>
      </c>
      <c r="M99" s="22">
        <f t="shared" si="34"/>
        <v>0</v>
      </c>
    </row>
    <row r="100" spans="1:13" x14ac:dyDescent="0.25">
      <c r="A100">
        <f t="shared" si="30"/>
        <v>72</v>
      </c>
      <c r="B100" t="s">
        <v>40</v>
      </c>
      <c r="C100">
        <f t="shared" si="37"/>
        <v>5</v>
      </c>
      <c r="D100">
        <f t="shared" si="38"/>
        <v>0</v>
      </c>
      <c r="E100" s="17">
        <f t="shared" si="39"/>
        <v>11026.984850562481</v>
      </c>
      <c r="F100" s="20">
        <f t="shared" si="35"/>
        <v>2.3730468750000002E-3</v>
      </c>
      <c r="G100" s="22">
        <f t="shared" si="31"/>
        <v>26.167551940299639</v>
      </c>
      <c r="H100" s="22">
        <f t="shared" si="36"/>
        <v>3205.8916300042051</v>
      </c>
      <c r="I100" s="22">
        <f>SUM($G$29:G100)-SUM($K$28:K99)</f>
        <v>85.176104166662299</v>
      </c>
      <c r="J100" s="22"/>
      <c r="K100" s="22">
        <f t="shared" si="32"/>
        <v>0</v>
      </c>
      <c r="L100" s="22">
        <f t="shared" si="33"/>
        <v>0</v>
      </c>
      <c r="M100" s="22">
        <f t="shared" si="34"/>
        <v>0</v>
      </c>
    </row>
    <row r="101" spans="1:13" x14ac:dyDescent="0.25">
      <c r="A101">
        <f t="shared" si="30"/>
        <v>73</v>
      </c>
      <c r="B101" t="s">
        <v>40</v>
      </c>
      <c r="C101">
        <f t="shared" si="37"/>
        <v>5</v>
      </c>
      <c r="D101">
        <f t="shared" si="38"/>
        <v>0</v>
      </c>
      <c r="E101" s="17">
        <f t="shared" si="39"/>
        <v>11026.984850562481</v>
      </c>
      <c r="F101" s="20">
        <f t="shared" si="35"/>
        <v>2.3730468750000002E-3</v>
      </c>
      <c r="G101" s="22">
        <f t="shared" si="31"/>
        <v>26.167551940299639</v>
      </c>
      <c r="H101" s="22">
        <f t="shared" si="36"/>
        <v>3205.8916300042051</v>
      </c>
      <c r="I101" s="22">
        <f>SUM($G$29:G101)-SUM($K$28:K100)</f>
        <v>111.34365610696204</v>
      </c>
      <c r="J101" s="22"/>
      <c r="K101" s="22">
        <f t="shared" si="32"/>
        <v>0</v>
      </c>
      <c r="L101" s="22">
        <f t="shared" si="33"/>
        <v>0</v>
      </c>
      <c r="M101" s="22">
        <f t="shared" si="34"/>
        <v>0</v>
      </c>
    </row>
    <row r="102" spans="1:13" x14ac:dyDescent="0.25">
      <c r="A102">
        <f t="shared" si="30"/>
        <v>74</v>
      </c>
      <c r="B102" t="s">
        <v>40</v>
      </c>
      <c r="C102">
        <f t="shared" si="37"/>
        <v>5</v>
      </c>
      <c r="D102">
        <f t="shared" si="38"/>
        <v>0</v>
      </c>
      <c r="E102" s="17">
        <f t="shared" si="39"/>
        <v>11026.984850562481</v>
      </c>
      <c r="F102" s="20">
        <f t="shared" si="35"/>
        <v>2.3730468750000002E-3</v>
      </c>
      <c r="G102" s="22">
        <f t="shared" si="31"/>
        <v>26.167551940299639</v>
      </c>
      <c r="H102" s="22">
        <f t="shared" si="36"/>
        <v>3205.8916300042051</v>
      </c>
      <c r="I102" s="22">
        <f>SUM($G$29:G102)-SUM($K$28:K101)</f>
        <v>137.51120804726179</v>
      </c>
      <c r="J102" s="22"/>
      <c r="K102" s="22">
        <f t="shared" si="32"/>
        <v>0</v>
      </c>
      <c r="L102" s="22">
        <f t="shared" si="33"/>
        <v>0</v>
      </c>
      <c r="M102" s="22">
        <f t="shared" si="34"/>
        <v>0</v>
      </c>
    </row>
    <row r="103" spans="1:13" x14ac:dyDescent="0.25">
      <c r="A103">
        <f t="shared" si="30"/>
        <v>75</v>
      </c>
      <c r="B103" t="s">
        <v>40</v>
      </c>
      <c r="C103">
        <f t="shared" si="37"/>
        <v>5</v>
      </c>
      <c r="D103">
        <f t="shared" si="38"/>
        <v>0</v>
      </c>
      <c r="E103" s="17">
        <f t="shared" si="39"/>
        <v>11026.984850562481</v>
      </c>
      <c r="F103" s="20">
        <f t="shared" si="35"/>
        <v>2.3730468750000002E-3</v>
      </c>
      <c r="G103" s="22">
        <f t="shared" si="31"/>
        <v>26.167551940299639</v>
      </c>
      <c r="H103" s="22">
        <f t="shared" si="36"/>
        <v>3205.8916300042051</v>
      </c>
      <c r="I103" s="22">
        <f>SUM($G$29:G103)-SUM($K$28:K102)</f>
        <v>163.67875998756153</v>
      </c>
      <c r="J103" s="22"/>
      <c r="K103" s="22">
        <f t="shared" si="32"/>
        <v>0</v>
      </c>
      <c r="L103" s="22">
        <f t="shared" si="33"/>
        <v>0</v>
      </c>
      <c r="M103" s="22">
        <f t="shared" si="34"/>
        <v>0</v>
      </c>
    </row>
    <row r="104" spans="1:13" x14ac:dyDescent="0.25">
      <c r="A104">
        <f t="shared" si="30"/>
        <v>76</v>
      </c>
      <c r="B104" t="s">
        <v>40</v>
      </c>
      <c r="C104">
        <f t="shared" si="37"/>
        <v>5</v>
      </c>
      <c r="D104">
        <f t="shared" si="38"/>
        <v>0</v>
      </c>
      <c r="E104" s="17">
        <f t="shared" si="39"/>
        <v>11026.984850562481</v>
      </c>
      <c r="F104" s="20">
        <f t="shared" si="35"/>
        <v>2.3730468750000002E-3</v>
      </c>
      <c r="G104" s="22">
        <f t="shared" si="31"/>
        <v>26.167551940299639</v>
      </c>
      <c r="H104" s="22">
        <f t="shared" si="36"/>
        <v>3205.8916300042051</v>
      </c>
      <c r="I104" s="22">
        <f>SUM($G$29:G104)-SUM($K$28:K103)</f>
        <v>189.84631192786128</v>
      </c>
      <c r="J104" s="22"/>
      <c r="K104" s="22">
        <f t="shared" si="32"/>
        <v>0</v>
      </c>
      <c r="L104" s="22">
        <f t="shared" si="33"/>
        <v>0</v>
      </c>
      <c r="M104" s="22">
        <f t="shared" si="34"/>
        <v>0</v>
      </c>
    </row>
    <row r="105" spans="1:13" x14ac:dyDescent="0.25">
      <c r="A105">
        <f t="shared" si="30"/>
        <v>77</v>
      </c>
      <c r="B105" t="s">
        <v>40</v>
      </c>
      <c r="C105">
        <f t="shared" si="37"/>
        <v>5</v>
      </c>
      <c r="D105">
        <f t="shared" si="38"/>
        <v>0</v>
      </c>
      <c r="E105" s="17">
        <f t="shared" si="39"/>
        <v>11026.984850562481</v>
      </c>
      <c r="F105" s="20">
        <f t="shared" si="35"/>
        <v>2.3730468750000002E-3</v>
      </c>
      <c r="G105" s="22">
        <f t="shared" si="31"/>
        <v>26.167551940299639</v>
      </c>
      <c r="H105" s="22">
        <f t="shared" si="36"/>
        <v>3205.8916300042051</v>
      </c>
      <c r="I105" s="22">
        <f>SUM($G$29:G105)-SUM($K$28:K104)</f>
        <v>216.01386386816102</v>
      </c>
      <c r="J105" s="22"/>
      <c r="K105" s="22">
        <f t="shared" si="32"/>
        <v>0</v>
      </c>
      <c r="L105" s="22">
        <f t="shared" si="33"/>
        <v>0</v>
      </c>
      <c r="M105" s="22">
        <f t="shared" si="34"/>
        <v>0</v>
      </c>
    </row>
    <row r="106" spans="1:13" x14ac:dyDescent="0.25">
      <c r="A106">
        <f t="shared" si="30"/>
        <v>78</v>
      </c>
      <c r="B106" t="s">
        <v>40</v>
      </c>
      <c r="C106">
        <f t="shared" si="37"/>
        <v>5</v>
      </c>
      <c r="D106">
        <f t="shared" si="38"/>
        <v>0</v>
      </c>
      <c r="E106" s="17">
        <f t="shared" si="39"/>
        <v>11026.984850562481</v>
      </c>
      <c r="F106" s="20">
        <f t="shared" si="35"/>
        <v>2.3730468750000002E-3</v>
      </c>
      <c r="G106" s="22">
        <f t="shared" si="31"/>
        <v>26.167551940299639</v>
      </c>
      <c r="H106" s="22">
        <f t="shared" si="36"/>
        <v>3205.8916300042051</v>
      </c>
      <c r="I106" s="22">
        <f>SUM($G$29:G106)-SUM($K$28:K105)</f>
        <v>242.18141580846077</v>
      </c>
      <c r="J106" s="22"/>
      <c r="K106" s="22">
        <f t="shared" si="32"/>
        <v>0</v>
      </c>
      <c r="L106" s="22">
        <f t="shared" si="33"/>
        <v>0</v>
      </c>
      <c r="M106" s="22">
        <f t="shared" si="34"/>
        <v>0</v>
      </c>
    </row>
    <row r="107" spans="1:13" x14ac:dyDescent="0.25">
      <c r="A107">
        <f t="shared" si="30"/>
        <v>79</v>
      </c>
      <c r="B107" t="s">
        <v>40</v>
      </c>
      <c r="C107">
        <f t="shared" si="37"/>
        <v>5</v>
      </c>
      <c r="D107">
        <f t="shared" si="38"/>
        <v>0</v>
      </c>
      <c r="E107" s="17">
        <f t="shared" si="39"/>
        <v>11026.984850562481</v>
      </c>
      <c r="F107" s="20">
        <f t="shared" si="35"/>
        <v>2.3730468750000002E-3</v>
      </c>
      <c r="G107" s="22">
        <f t="shared" si="31"/>
        <v>26.167551940299639</v>
      </c>
      <c r="H107" s="22">
        <f t="shared" si="36"/>
        <v>3205.8916300042051</v>
      </c>
      <c r="I107" s="22">
        <f>SUM($G$29:G107)-SUM($K$28:K106)</f>
        <v>268.34896774876051</v>
      </c>
      <c r="J107" s="22"/>
      <c r="K107" s="22">
        <f t="shared" si="32"/>
        <v>0</v>
      </c>
      <c r="L107" s="22">
        <f t="shared" si="33"/>
        <v>0</v>
      </c>
      <c r="M107" s="22">
        <f t="shared" si="34"/>
        <v>0</v>
      </c>
    </row>
    <row r="108" spans="1:13" x14ac:dyDescent="0.25">
      <c r="A108">
        <f t="shared" si="30"/>
        <v>80</v>
      </c>
      <c r="B108" t="s">
        <v>40</v>
      </c>
      <c r="C108">
        <f t="shared" si="37"/>
        <v>5</v>
      </c>
      <c r="D108">
        <f t="shared" si="38"/>
        <v>0</v>
      </c>
      <c r="E108" s="17">
        <f t="shared" si="39"/>
        <v>11026.984850562481</v>
      </c>
      <c r="F108" s="20">
        <f t="shared" si="35"/>
        <v>2.3730468750000002E-3</v>
      </c>
      <c r="G108" s="22">
        <f t="shared" si="31"/>
        <v>26.167551940299639</v>
      </c>
      <c r="H108" s="22">
        <f t="shared" si="36"/>
        <v>3205.8916300042051</v>
      </c>
      <c r="I108" s="22">
        <f>SUM($G$29:G108)-SUM($K$28:K107)</f>
        <v>294.51651968906026</v>
      </c>
      <c r="J108" s="22"/>
      <c r="K108" s="22">
        <f t="shared" si="32"/>
        <v>0</v>
      </c>
      <c r="L108" s="22">
        <f t="shared" si="33"/>
        <v>0</v>
      </c>
      <c r="M108" s="22">
        <f t="shared" si="34"/>
        <v>0</v>
      </c>
    </row>
    <row r="109" spans="1:13" x14ac:dyDescent="0.25">
      <c r="A109">
        <f t="shared" ref="A109:A172" si="40">A108+1</f>
        <v>81</v>
      </c>
      <c r="B109" t="s">
        <v>40</v>
      </c>
      <c r="C109">
        <f t="shared" si="37"/>
        <v>5</v>
      </c>
      <c r="D109">
        <f t="shared" si="38"/>
        <v>0</v>
      </c>
      <c r="E109" s="17">
        <f t="shared" si="39"/>
        <v>11026.984850562481</v>
      </c>
      <c r="F109" s="20">
        <f t="shared" si="35"/>
        <v>2.3730468750000002E-3</v>
      </c>
      <c r="G109" s="22">
        <f t="shared" ref="G109:G172" si="41">E108*F109</f>
        <v>26.167551940299639</v>
      </c>
      <c r="H109" s="22">
        <f t="shared" si="36"/>
        <v>3205.8916300042051</v>
      </c>
      <c r="I109" s="22">
        <f>SUM($G$29:G109)-SUM($K$28:K108)</f>
        <v>320.68407162936001</v>
      </c>
      <c r="J109" s="22"/>
      <c r="K109" s="22">
        <f t="shared" ref="K109:K172" si="42">IF(J109&gt;0,IF(J109&gt;I109,I109,J109),0)</f>
        <v>0</v>
      </c>
      <c r="L109" s="22">
        <f t="shared" ref="L109:L172" si="43">IF(J109&gt;0,IF(J109&gt;K109,J109-K109,0),0)</f>
        <v>0</v>
      </c>
      <c r="M109" s="22">
        <f t="shared" ref="M109:M172" si="44">IF(L109&gt;H109,L109-H109,0)</f>
        <v>0</v>
      </c>
    </row>
    <row r="110" spans="1:13" x14ac:dyDescent="0.25">
      <c r="A110">
        <f t="shared" si="40"/>
        <v>82</v>
      </c>
      <c r="B110" t="s">
        <v>40</v>
      </c>
      <c r="C110">
        <f t="shared" si="37"/>
        <v>5</v>
      </c>
      <c r="D110">
        <f t="shared" si="38"/>
        <v>0</v>
      </c>
      <c r="E110" s="17">
        <f t="shared" si="39"/>
        <v>11026.984850562481</v>
      </c>
      <c r="F110" s="20">
        <f t="shared" si="35"/>
        <v>2.3730468750000002E-3</v>
      </c>
      <c r="G110" s="22">
        <f t="shared" si="41"/>
        <v>26.167551940299639</v>
      </c>
      <c r="H110" s="22">
        <f t="shared" si="36"/>
        <v>3205.8916300042051</v>
      </c>
      <c r="I110" s="22">
        <f>SUM($G$29:G110)-SUM($K$28:K109)</f>
        <v>346.85162356965975</v>
      </c>
      <c r="J110" s="22"/>
      <c r="K110" s="22">
        <f t="shared" si="42"/>
        <v>0</v>
      </c>
      <c r="L110" s="22">
        <f t="shared" si="43"/>
        <v>0</v>
      </c>
      <c r="M110" s="22">
        <f t="shared" si="44"/>
        <v>0</v>
      </c>
    </row>
    <row r="111" spans="1:13" x14ac:dyDescent="0.25">
      <c r="A111">
        <f t="shared" si="40"/>
        <v>83</v>
      </c>
      <c r="B111" t="s">
        <v>40</v>
      </c>
      <c r="C111">
        <f t="shared" si="37"/>
        <v>5</v>
      </c>
      <c r="D111">
        <f t="shared" si="38"/>
        <v>1</v>
      </c>
      <c r="E111" s="17">
        <f t="shared" si="39"/>
        <v>11026.984850562481</v>
      </c>
      <c r="F111" s="20">
        <f t="shared" si="35"/>
        <v>2.3730468750000002E-3</v>
      </c>
      <c r="G111" s="22">
        <f t="shared" si="41"/>
        <v>26.167551940299639</v>
      </c>
      <c r="H111" s="22">
        <f t="shared" si="36"/>
        <v>3205.8916300042051</v>
      </c>
      <c r="I111" s="22">
        <f>SUM($G$29:G111)-SUM($K$28:K110)</f>
        <v>373.0191755099595</v>
      </c>
      <c r="J111" s="22">
        <f>H111+I111</f>
        <v>3578.9108055141646</v>
      </c>
      <c r="K111" s="22">
        <f t="shared" si="42"/>
        <v>373.0191755099595</v>
      </c>
      <c r="L111" s="22">
        <f t="shared" si="43"/>
        <v>3205.8916300042051</v>
      </c>
      <c r="M111" s="22">
        <f t="shared" si="44"/>
        <v>0</v>
      </c>
    </row>
    <row r="112" spans="1:13" x14ac:dyDescent="0.25">
      <c r="A112">
        <f t="shared" si="40"/>
        <v>84</v>
      </c>
      <c r="B112" t="s">
        <v>40</v>
      </c>
      <c r="C112">
        <f t="shared" si="37"/>
        <v>6</v>
      </c>
      <c r="D112">
        <f t="shared" si="38"/>
        <v>0</v>
      </c>
      <c r="E112" s="17">
        <f t="shared" si="39"/>
        <v>7821.0932205582758</v>
      </c>
      <c r="F112" s="20">
        <f t="shared" si="35"/>
        <v>1.7797851562500002E-3</v>
      </c>
      <c r="G112" s="22">
        <f t="shared" si="41"/>
        <v>19.625663955224731</v>
      </c>
      <c r="H112" s="22">
        <f t="shared" si="36"/>
        <v>3654.716458204794</v>
      </c>
      <c r="I112" s="22">
        <f>SUM($G$29:G112)-SUM($K$28:K111)</f>
        <v>19.625663955224809</v>
      </c>
      <c r="J112" s="22"/>
      <c r="K112" s="22">
        <f t="shared" si="42"/>
        <v>0</v>
      </c>
      <c r="L112" s="22">
        <f t="shared" si="43"/>
        <v>0</v>
      </c>
      <c r="M112" s="22">
        <f t="shared" si="44"/>
        <v>0</v>
      </c>
    </row>
    <row r="113" spans="1:13" x14ac:dyDescent="0.25">
      <c r="A113">
        <f t="shared" si="40"/>
        <v>85</v>
      </c>
      <c r="B113" t="s">
        <v>40</v>
      </c>
      <c r="C113">
        <f t="shared" si="37"/>
        <v>6</v>
      </c>
      <c r="D113">
        <f t="shared" si="38"/>
        <v>0</v>
      </c>
      <c r="E113" s="17">
        <f t="shared" si="39"/>
        <v>7821.0932205582758</v>
      </c>
      <c r="F113" s="20">
        <f t="shared" si="35"/>
        <v>1.7797851562500002E-3</v>
      </c>
      <c r="G113" s="22">
        <f t="shared" si="41"/>
        <v>13.919865619597129</v>
      </c>
      <c r="H113" s="22">
        <f t="shared" si="36"/>
        <v>3654.716458204794</v>
      </c>
      <c r="I113" s="22">
        <f>SUM($G$29:G113)-SUM($K$28:K112)</f>
        <v>33.545529574821558</v>
      </c>
      <c r="J113" s="22"/>
      <c r="K113" s="22">
        <f t="shared" si="42"/>
        <v>0</v>
      </c>
      <c r="L113" s="22">
        <f t="shared" si="43"/>
        <v>0</v>
      </c>
      <c r="M113" s="22">
        <f t="shared" si="44"/>
        <v>0</v>
      </c>
    </row>
    <row r="114" spans="1:13" x14ac:dyDescent="0.25">
      <c r="A114">
        <f t="shared" si="40"/>
        <v>86</v>
      </c>
      <c r="B114" t="s">
        <v>40</v>
      </c>
      <c r="C114">
        <f t="shared" si="37"/>
        <v>6</v>
      </c>
      <c r="D114">
        <f t="shared" si="38"/>
        <v>0</v>
      </c>
      <c r="E114" s="17">
        <f t="shared" si="39"/>
        <v>7821.0932205582758</v>
      </c>
      <c r="F114" s="20">
        <f t="shared" si="35"/>
        <v>1.7797851562500002E-3</v>
      </c>
      <c r="G114" s="22">
        <f t="shared" si="41"/>
        <v>13.919865619597129</v>
      </c>
      <c r="H114" s="22">
        <f t="shared" si="36"/>
        <v>3654.716458204794</v>
      </c>
      <c r="I114" s="22">
        <f>SUM($G$29:G114)-SUM($K$28:K113)</f>
        <v>47.465395194418306</v>
      </c>
      <c r="J114" s="22"/>
      <c r="K114" s="22">
        <f t="shared" si="42"/>
        <v>0</v>
      </c>
      <c r="L114" s="22">
        <f t="shared" si="43"/>
        <v>0</v>
      </c>
      <c r="M114" s="22">
        <f t="shared" si="44"/>
        <v>0</v>
      </c>
    </row>
    <row r="115" spans="1:13" x14ac:dyDescent="0.25">
      <c r="A115">
        <f t="shared" si="40"/>
        <v>87</v>
      </c>
      <c r="B115" t="s">
        <v>40</v>
      </c>
      <c r="C115">
        <f t="shared" si="37"/>
        <v>6</v>
      </c>
      <c r="D115">
        <f t="shared" si="38"/>
        <v>0</v>
      </c>
      <c r="E115" s="17">
        <f t="shared" si="39"/>
        <v>7821.0932205582758</v>
      </c>
      <c r="F115" s="20">
        <f t="shared" si="35"/>
        <v>1.7797851562500002E-3</v>
      </c>
      <c r="G115" s="22">
        <f t="shared" si="41"/>
        <v>13.919865619597129</v>
      </c>
      <c r="H115" s="22">
        <f t="shared" si="36"/>
        <v>3654.716458204794</v>
      </c>
      <c r="I115" s="22">
        <f>SUM($G$29:G115)-SUM($K$28:K114)</f>
        <v>61.385260814015055</v>
      </c>
      <c r="J115" s="22"/>
      <c r="K115" s="22">
        <f t="shared" si="42"/>
        <v>0</v>
      </c>
      <c r="L115" s="22">
        <f t="shared" si="43"/>
        <v>0</v>
      </c>
      <c r="M115" s="22">
        <f t="shared" si="44"/>
        <v>0</v>
      </c>
    </row>
    <row r="116" spans="1:13" x14ac:dyDescent="0.25">
      <c r="A116">
        <f t="shared" si="40"/>
        <v>88</v>
      </c>
      <c r="B116" t="s">
        <v>40</v>
      </c>
      <c r="C116">
        <f t="shared" si="37"/>
        <v>6</v>
      </c>
      <c r="D116">
        <f t="shared" si="38"/>
        <v>0</v>
      </c>
      <c r="E116" s="17">
        <f t="shared" si="39"/>
        <v>7821.0932205582758</v>
      </c>
      <c r="F116" s="20">
        <f t="shared" ref="F116:F179" si="45">IFERROR(SUMIF($X$17:$X$24,C116,$AF$17:$AF$24),0)</f>
        <v>1.7797851562500002E-3</v>
      </c>
      <c r="G116" s="22">
        <f t="shared" si="41"/>
        <v>13.919865619597129</v>
      </c>
      <c r="H116" s="22">
        <f t="shared" ref="H116:H179" si="46">IFERROR(SUMIF($X$17:$X$24,C116,$AB$17:$AB$24),0)</f>
        <v>3654.716458204794</v>
      </c>
      <c r="I116" s="22">
        <f>SUM($G$29:G116)-SUM($K$28:K115)</f>
        <v>75.305126433611804</v>
      </c>
      <c r="J116" s="22"/>
      <c r="K116" s="22">
        <f t="shared" si="42"/>
        <v>0</v>
      </c>
      <c r="L116" s="22">
        <f t="shared" si="43"/>
        <v>0</v>
      </c>
      <c r="M116" s="22">
        <f t="shared" si="44"/>
        <v>0</v>
      </c>
    </row>
    <row r="117" spans="1:13" x14ac:dyDescent="0.25">
      <c r="A117">
        <f t="shared" si="40"/>
        <v>89</v>
      </c>
      <c r="B117" t="s">
        <v>40</v>
      </c>
      <c r="C117">
        <f t="shared" si="37"/>
        <v>6</v>
      </c>
      <c r="D117">
        <f t="shared" si="38"/>
        <v>0</v>
      </c>
      <c r="E117" s="17">
        <f t="shared" si="39"/>
        <v>7821.0932205582758</v>
      </c>
      <c r="F117" s="20">
        <f t="shared" si="45"/>
        <v>1.7797851562500002E-3</v>
      </c>
      <c r="G117" s="22">
        <f t="shared" si="41"/>
        <v>13.919865619597129</v>
      </c>
      <c r="H117" s="22">
        <f t="shared" si="46"/>
        <v>3654.716458204794</v>
      </c>
      <c r="I117" s="22">
        <f>SUM($G$29:G117)-SUM($K$28:K116)</f>
        <v>89.224992053208553</v>
      </c>
      <c r="J117" s="22"/>
      <c r="K117" s="22">
        <f t="shared" si="42"/>
        <v>0</v>
      </c>
      <c r="L117" s="22">
        <f t="shared" si="43"/>
        <v>0</v>
      </c>
      <c r="M117" s="22">
        <f t="shared" si="44"/>
        <v>0</v>
      </c>
    </row>
    <row r="118" spans="1:13" x14ac:dyDescent="0.25">
      <c r="A118">
        <f t="shared" si="40"/>
        <v>90</v>
      </c>
      <c r="B118" t="s">
        <v>40</v>
      </c>
      <c r="C118">
        <f t="shared" si="37"/>
        <v>6</v>
      </c>
      <c r="D118">
        <f t="shared" si="38"/>
        <v>0</v>
      </c>
      <c r="E118" s="17">
        <f t="shared" si="39"/>
        <v>7821.0932205582758</v>
      </c>
      <c r="F118" s="20">
        <f t="shared" si="45"/>
        <v>1.7797851562500002E-3</v>
      </c>
      <c r="G118" s="22">
        <f t="shared" si="41"/>
        <v>13.919865619597129</v>
      </c>
      <c r="H118" s="22">
        <f t="shared" si="46"/>
        <v>3654.716458204794</v>
      </c>
      <c r="I118" s="22">
        <f>SUM($G$29:G118)-SUM($K$28:K117)</f>
        <v>103.1448576728053</v>
      </c>
      <c r="J118" s="22"/>
      <c r="K118" s="22">
        <f t="shared" si="42"/>
        <v>0</v>
      </c>
      <c r="L118" s="22">
        <f t="shared" si="43"/>
        <v>0</v>
      </c>
      <c r="M118" s="22">
        <f t="shared" si="44"/>
        <v>0</v>
      </c>
    </row>
    <row r="119" spans="1:13" x14ac:dyDescent="0.25">
      <c r="A119">
        <f t="shared" si="40"/>
        <v>91</v>
      </c>
      <c r="B119" t="s">
        <v>40</v>
      </c>
      <c r="C119">
        <f t="shared" si="37"/>
        <v>6</v>
      </c>
      <c r="D119">
        <f t="shared" si="38"/>
        <v>0</v>
      </c>
      <c r="E119" s="17">
        <f t="shared" si="39"/>
        <v>7821.0932205582758</v>
      </c>
      <c r="F119" s="20">
        <f t="shared" si="45"/>
        <v>1.7797851562500002E-3</v>
      </c>
      <c r="G119" s="22">
        <f t="shared" si="41"/>
        <v>13.919865619597129</v>
      </c>
      <c r="H119" s="22">
        <f t="shared" si="46"/>
        <v>3654.716458204794</v>
      </c>
      <c r="I119" s="22">
        <f>SUM($G$29:G119)-SUM($K$28:K118)</f>
        <v>117.06472329240205</v>
      </c>
      <c r="J119" s="22"/>
      <c r="K119" s="22">
        <f t="shared" si="42"/>
        <v>0</v>
      </c>
      <c r="L119" s="22">
        <f t="shared" si="43"/>
        <v>0</v>
      </c>
      <c r="M119" s="22">
        <f t="shared" si="44"/>
        <v>0</v>
      </c>
    </row>
    <row r="120" spans="1:13" x14ac:dyDescent="0.25">
      <c r="A120">
        <f t="shared" si="40"/>
        <v>92</v>
      </c>
      <c r="B120" t="s">
        <v>40</v>
      </c>
      <c r="C120">
        <f t="shared" si="37"/>
        <v>6</v>
      </c>
      <c r="D120">
        <f t="shared" si="38"/>
        <v>0</v>
      </c>
      <c r="E120" s="17">
        <f t="shared" si="39"/>
        <v>7821.0932205582758</v>
      </c>
      <c r="F120" s="20">
        <f t="shared" si="45"/>
        <v>1.7797851562500002E-3</v>
      </c>
      <c r="G120" s="22">
        <f t="shared" si="41"/>
        <v>13.919865619597129</v>
      </c>
      <c r="H120" s="22">
        <f t="shared" si="46"/>
        <v>3654.716458204794</v>
      </c>
      <c r="I120" s="22">
        <f>SUM($G$29:G120)-SUM($K$28:K119)</f>
        <v>130.9845889119988</v>
      </c>
      <c r="J120" s="22"/>
      <c r="K120" s="22">
        <f t="shared" si="42"/>
        <v>0</v>
      </c>
      <c r="L120" s="22">
        <f t="shared" si="43"/>
        <v>0</v>
      </c>
      <c r="M120" s="22">
        <f t="shared" si="44"/>
        <v>0</v>
      </c>
    </row>
    <row r="121" spans="1:13" x14ac:dyDescent="0.25">
      <c r="A121">
        <f t="shared" si="40"/>
        <v>93</v>
      </c>
      <c r="B121" t="s">
        <v>40</v>
      </c>
      <c r="C121">
        <f t="shared" si="37"/>
        <v>6</v>
      </c>
      <c r="D121">
        <f t="shared" si="38"/>
        <v>0</v>
      </c>
      <c r="E121" s="17">
        <f t="shared" si="39"/>
        <v>7821.0932205582758</v>
      </c>
      <c r="F121" s="20">
        <f t="shared" si="45"/>
        <v>1.7797851562500002E-3</v>
      </c>
      <c r="G121" s="22">
        <f t="shared" si="41"/>
        <v>13.919865619597129</v>
      </c>
      <c r="H121" s="22">
        <f t="shared" si="46"/>
        <v>3654.716458204794</v>
      </c>
      <c r="I121" s="22">
        <f>SUM($G$29:G121)-SUM($K$28:K120)</f>
        <v>144.90445453159555</v>
      </c>
      <c r="J121" s="22"/>
      <c r="K121" s="22">
        <f t="shared" si="42"/>
        <v>0</v>
      </c>
      <c r="L121" s="22">
        <f t="shared" si="43"/>
        <v>0</v>
      </c>
      <c r="M121" s="22">
        <f t="shared" si="44"/>
        <v>0</v>
      </c>
    </row>
    <row r="122" spans="1:13" x14ac:dyDescent="0.25">
      <c r="A122">
        <f t="shared" si="40"/>
        <v>94</v>
      </c>
      <c r="B122" t="s">
        <v>40</v>
      </c>
      <c r="C122">
        <f t="shared" si="37"/>
        <v>6</v>
      </c>
      <c r="D122">
        <f t="shared" si="38"/>
        <v>0</v>
      </c>
      <c r="E122" s="17">
        <f t="shared" si="39"/>
        <v>7821.0932205582758</v>
      </c>
      <c r="F122" s="20">
        <f t="shared" si="45"/>
        <v>1.7797851562500002E-3</v>
      </c>
      <c r="G122" s="22">
        <f t="shared" si="41"/>
        <v>13.919865619597129</v>
      </c>
      <c r="H122" s="22">
        <f t="shared" si="46"/>
        <v>3654.716458204794</v>
      </c>
      <c r="I122" s="22">
        <f>SUM($G$29:G122)-SUM($K$28:K121)</f>
        <v>158.8243201511923</v>
      </c>
      <c r="J122" s="22"/>
      <c r="K122" s="22">
        <f t="shared" si="42"/>
        <v>0</v>
      </c>
      <c r="L122" s="22">
        <f t="shared" si="43"/>
        <v>0</v>
      </c>
      <c r="M122" s="22">
        <f t="shared" si="44"/>
        <v>0</v>
      </c>
    </row>
    <row r="123" spans="1:13" x14ac:dyDescent="0.25">
      <c r="A123">
        <f t="shared" si="40"/>
        <v>95</v>
      </c>
      <c r="B123" t="s">
        <v>40</v>
      </c>
      <c r="C123">
        <f t="shared" si="37"/>
        <v>6</v>
      </c>
      <c r="D123">
        <f t="shared" si="38"/>
        <v>0</v>
      </c>
      <c r="E123" s="17">
        <f t="shared" si="39"/>
        <v>7821.0932205582758</v>
      </c>
      <c r="F123" s="20">
        <f t="shared" si="45"/>
        <v>1.7797851562500002E-3</v>
      </c>
      <c r="G123" s="22">
        <f t="shared" si="41"/>
        <v>13.919865619597129</v>
      </c>
      <c r="H123" s="22">
        <f t="shared" si="46"/>
        <v>3654.716458204794</v>
      </c>
      <c r="I123" s="22">
        <f>SUM($G$29:G123)-SUM($K$28:K122)</f>
        <v>172.74418577078904</v>
      </c>
      <c r="J123" s="22"/>
      <c r="K123" s="22">
        <f t="shared" si="42"/>
        <v>0</v>
      </c>
      <c r="L123" s="22">
        <f t="shared" si="43"/>
        <v>0</v>
      </c>
      <c r="M123" s="22">
        <f t="shared" si="44"/>
        <v>0</v>
      </c>
    </row>
    <row r="124" spans="1:13" x14ac:dyDescent="0.25">
      <c r="A124">
        <f t="shared" si="40"/>
        <v>96</v>
      </c>
      <c r="B124" t="s">
        <v>40</v>
      </c>
      <c r="C124">
        <f t="shared" si="37"/>
        <v>6</v>
      </c>
      <c r="D124">
        <f t="shared" si="38"/>
        <v>0</v>
      </c>
      <c r="E124" s="17">
        <f t="shared" si="39"/>
        <v>7821.0932205582758</v>
      </c>
      <c r="F124" s="20">
        <f t="shared" si="45"/>
        <v>1.7797851562500002E-3</v>
      </c>
      <c r="G124" s="22">
        <f t="shared" si="41"/>
        <v>13.919865619597129</v>
      </c>
      <c r="H124" s="22">
        <f t="shared" si="46"/>
        <v>3654.716458204794</v>
      </c>
      <c r="I124" s="22">
        <f>SUM($G$29:G124)-SUM($K$28:K123)</f>
        <v>186.66405139038579</v>
      </c>
      <c r="J124" s="22"/>
      <c r="K124" s="22">
        <f t="shared" si="42"/>
        <v>0</v>
      </c>
      <c r="L124" s="22">
        <f t="shared" si="43"/>
        <v>0</v>
      </c>
      <c r="M124" s="22">
        <f t="shared" si="44"/>
        <v>0</v>
      </c>
    </row>
    <row r="125" spans="1:13" x14ac:dyDescent="0.25">
      <c r="A125">
        <f t="shared" si="40"/>
        <v>97</v>
      </c>
      <c r="B125" t="s">
        <v>40</v>
      </c>
      <c r="C125">
        <f t="shared" si="37"/>
        <v>6</v>
      </c>
      <c r="D125">
        <f t="shared" si="38"/>
        <v>1</v>
      </c>
      <c r="E125" s="17">
        <f t="shared" si="39"/>
        <v>7821.0932205582758</v>
      </c>
      <c r="F125" s="20">
        <f t="shared" si="45"/>
        <v>1.7797851562500002E-3</v>
      </c>
      <c r="G125" s="22">
        <f t="shared" si="41"/>
        <v>13.919865619597129</v>
      </c>
      <c r="H125" s="22">
        <f t="shared" si="46"/>
        <v>3654.716458204794</v>
      </c>
      <c r="I125" s="22">
        <f>SUM($G$29:G125)-SUM($K$28:K124)</f>
        <v>200.58391700998254</v>
      </c>
      <c r="J125" s="22">
        <f>H125+I125</f>
        <v>3855.3003752147765</v>
      </c>
      <c r="K125" s="22">
        <f t="shared" si="42"/>
        <v>200.58391700998254</v>
      </c>
      <c r="L125" s="22">
        <f t="shared" si="43"/>
        <v>3654.716458204794</v>
      </c>
      <c r="M125" s="22">
        <f t="shared" si="44"/>
        <v>0</v>
      </c>
    </row>
    <row r="126" spans="1:13" x14ac:dyDescent="0.25">
      <c r="A126">
        <f t="shared" si="40"/>
        <v>98</v>
      </c>
      <c r="B126" t="s">
        <v>40</v>
      </c>
      <c r="C126">
        <f t="shared" si="37"/>
        <v>7</v>
      </c>
      <c r="D126">
        <f t="shared" si="38"/>
        <v>0</v>
      </c>
      <c r="E126" s="17">
        <f t="shared" si="39"/>
        <v>4166.3767623534823</v>
      </c>
      <c r="F126" s="20">
        <f t="shared" si="45"/>
        <v>1.3348388671875003E-3</v>
      </c>
      <c r="G126" s="22">
        <f>E125*F126</f>
        <v>10.439899214697848</v>
      </c>
      <c r="H126" s="22">
        <f t="shared" si="46"/>
        <v>4166.376762353465</v>
      </c>
      <c r="I126" s="22">
        <f>SUM($G$29:G126)-SUM($K$28:K125)</f>
        <v>10.439899214698016</v>
      </c>
      <c r="J126" s="22"/>
      <c r="K126" s="22">
        <f t="shared" si="42"/>
        <v>0</v>
      </c>
      <c r="L126" s="22">
        <f t="shared" si="43"/>
        <v>0</v>
      </c>
      <c r="M126" s="22">
        <f t="shared" si="44"/>
        <v>0</v>
      </c>
    </row>
    <row r="127" spans="1:13" x14ac:dyDescent="0.25">
      <c r="A127">
        <f t="shared" si="40"/>
        <v>99</v>
      </c>
      <c r="B127" t="s">
        <v>40</v>
      </c>
      <c r="C127">
        <f t="shared" si="37"/>
        <v>7</v>
      </c>
      <c r="D127">
        <f t="shared" si="38"/>
        <v>0</v>
      </c>
      <c r="E127" s="17">
        <f t="shared" si="39"/>
        <v>4166.3767623534823</v>
      </c>
      <c r="F127" s="20">
        <f t="shared" si="45"/>
        <v>1.3348388671875003E-3</v>
      </c>
      <c r="G127" s="22">
        <f t="shared" si="41"/>
        <v>5.5614416377362472</v>
      </c>
      <c r="H127" s="22">
        <f t="shared" si="46"/>
        <v>4166.376762353465</v>
      </c>
      <c r="I127" s="22">
        <f>SUM($G$29:G127)-SUM($K$28:K126)</f>
        <v>16.001340852434623</v>
      </c>
      <c r="J127" s="22"/>
      <c r="K127" s="22">
        <f t="shared" si="42"/>
        <v>0</v>
      </c>
      <c r="L127" s="22">
        <f t="shared" si="43"/>
        <v>0</v>
      </c>
      <c r="M127" s="22">
        <f t="shared" si="44"/>
        <v>0</v>
      </c>
    </row>
    <row r="128" spans="1:13" x14ac:dyDescent="0.25">
      <c r="A128">
        <f t="shared" si="40"/>
        <v>100</v>
      </c>
      <c r="B128" t="s">
        <v>40</v>
      </c>
      <c r="C128">
        <f t="shared" si="37"/>
        <v>7</v>
      </c>
      <c r="D128">
        <f t="shared" si="38"/>
        <v>0</v>
      </c>
      <c r="E128" s="17">
        <f t="shared" si="39"/>
        <v>4166.3767623534823</v>
      </c>
      <c r="F128" s="20">
        <f t="shared" si="45"/>
        <v>1.3348388671875003E-3</v>
      </c>
      <c r="G128" s="22">
        <f t="shared" si="41"/>
        <v>5.5614416377362472</v>
      </c>
      <c r="H128" s="22">
        <f t="shared" si="46"/>
        <v>4166.376762353465</v>
      </c>
      <c r="I128" s="22">
        <f>SUM($G$29:G128)-SUM($K$28:K127)</f>
        <v>21.56278249017123</v>
      </c>
      <c r="J128" s="22"/>
      <c r="K128" s="22">
        <f t="shared" si="42"/>
        <v>0</v>
      </c>
      <c r="L128" s="22">
        <f t="shared" si="43"/>
        <v>0</v>
      </c>
      <c r="M128" s="22">
        <f t="shared" si="44"/>
        <v>0</v>
      </c>
    </row>
    <row r="129" spans="1:13" x14ac:dyDescent="0.25">
      <c r="A129">
        <f t="shared" si="40"/>
        <v>101</v>
      </c>
      <c r="B129" t="s">
        <v>40</v>
      </c>
      <c r="C129">
        <f t="shared" si="37"/>
        <v>7</v>
      </c>
      <c r="D129">
        <f t="shared" si="38"/>
        <v>0</v>
      </c>
      <c r="E129" s="17">
        <f t="shared" si="39"/>
        <v>4166.3767623534823</v>
      </c>
      <c r="F129" s="20">
        <f t="shared" si="45"/>
        <v>1.3348388671875003E-3</v>
      </c>
      <c r="G129" s="22">
        <f t="shared" si="41"/>
        <v>5.5614416377362472</v>
      </c>
      <c r="H129" s="22">
        <f t="shared" si="46"/>
        <v>4166.376762353465</v>
      </c>
      <c r="I129" s="22">
        <f>SUM($G$29:G129)-SUM($K$28:K128)</f>
        <v>27.124224127907837</v>
      </c>
      <c r="J129" s="22"/>
      <c r="K129" s="22">
        <f t="shared" si="42"/>
        <v>0</v>
      </c>
      <c r="L129" s="22">
        <f t="shared" si="43"/>
        <v>0</v>
      </c>
      <c r="M129" s="22">
        <f t="shared" si="44"/>
        <v>0</v>
      </c>
    </row>
    <row r="130" spans="1:13" x14ac:dyDescent="0.25">
      <c r="A130">
        <f t="shared" si="40"/>
        <v>102</v>
      </c>
      <c r="B130" t="s">
        <v>40</v>
      </c>
      <c r="C130">
        <f t="shared" si="37"/>
        <v>7</v>
      </c>
      <c r="D130">
        <f t="shared" si="38"/>
        <v>0</v>
      </c>
      <c r="E130" s="17">
        <f t="shared" si="39"/>
        <v>4166.3767623534823</v>
      </c>
      <c r="F130" s="20">
        <f t="shared" si="45"/>
        <v>1.3348388671875003E-3</v>
      </c>
      <c r="G130" s="22">
        <f t="shared" si="41"/>
        <v>5.5614416377362472</v>
      </c>
      <c r="H130" s="22">
        <f t="shared" si="46"/>
        <v>4166.376762353465</v>
      </c>
      <c r="I130" s="22">
        <f>SUM($G$29:G130)-SUM($K$28:K129)</f>
        <v>32.685665765644444</v>
      </c>
      <c r="J130" s="22"/>
      <c r="K130" s="22">
        <f t="shared" si="42"/>
        <v>0</v>
      </c>
      <c r="L130" s="22">
        <f t="shared" si="43"/>
        <v>0</v>
      </c>
      <c r="M130" s="22">
        <f t="shared" si="44"/>
        <v>0</v>
      </c>
    </row>
    <row r="131" spans="1:13" x14ac:dyDescent="0.25">
      <c r="A131">
        <f t="shared" si="40"/>
        <v>103</v>
      </c>
      <c r="B131" t="s">
        <v>40</v>
      </c>
      <c r="C131">
        <f t="shared" si="37"/>
        <v>7</v>
      </c>
      <c r="D131">
        <f t="shared" si="38"/>
        <v>0</v>
      </c>
      <c r="E131" s="17">
        <f t="shared" si="39"/>
        <v>4166.3767623534823</v>
      </c>
      <c r="F131" s="20">
        <f t="shared" si="45"/>
        <v>1.3348388671875003E-3</v>
      </c>
      <c r="G131" s="22">
        <f t="shared" si="41"/>
        <v>5.5614416377362472</v>
      </c>
      <c r="H131" s="22">
        <f t="shared" si="46"/>
        <v>4166.376762353465</v>
      </c>
      <c r="I131" s="22">
        <f>SUM($G$29:G131)-SUM($K$28:K130)</f>
        <v>38.247107403381051</v>
      </c>
      <c r="J131" s="22"/>
      <c r="K131" s="22">
        <f t="shared" si="42"/>
        <v>0</v>
      </c>
      <c r="L131" s="22">
        <f t="shared" si="43"/>
        <v>0</v>
      </c>
      <c r="M131" s="22">
        <f t="shared" si="44"/>
        <v>0</v>
      </c>
    </row>
    <row r="132" spans="1:13" x14ac:dyDescent="0.25">
      <c r="A132">
        <f t="shared" si="40"/>
        <v>104</v>
      </c>
      <c r="B132" t="s">
        <v>40</v>
      </c>
      <c r="C132">
        <f t="shared" si="37"/>
        <v>7</v>
      </c>
      <c r="D132">
        <f t="shared" si="38"/>
        <v>0</v>
      </c>
      <c r="E132" s="17">
        <f t="shared" si="39"/>
        <v>4166.3767623534823</v>
      </c>
      <c r="F132" s="20">
        <f t="shared" si="45"/>
        <v>1.3348388671875003E-3</v>
      </c>
      <c r="G132" s="22">
        <f t="shared" si="41"/>
        <v>5.5614416377362472</v>
      </c>
      <c r="H132" s="22">
        <f t="shared" si="46"/>
        <v>4166.376762353465</v>
      </c>
      <c r="I132" s="22">
        <f>SUM($G$29:G132)-SUM($K$28:K131)</f>
        <v>43.808549041117658</v>
      </c>
      <c r="J132" s="22"/>
      <c r="K132" s="22">
        <f t="shared" si="42"/>
        <v>0</v>
      </c>
      <c r="L132" s="22">
        <f t="shared" si="43"/>
        <v>0</v>
      </c>
      <c r="M132" s="22">
        <f t="shared" si="44"/>
        <v>0</v>
      </c>
    </row>
    <row r="133" spans="1:13" x14ac:dyDescent="0.25">
      <c r="A133">
        <f t="shared" si="40"/>
        <v>105</v>
      </c>
      <c r="B133" t="s">
        <v>40</v>
      </c>
      <c r="C133">
        <f t="shared" si="37"/>
        <v>7</v>
      </c>
      <c r="D133">
        <f t="shared" si="38"/>
        <v>0</v>
      </c>
      <c r="E133" s="17">
        <f t="shared" si="39"/>
        <v>4166.3767623534823</v>
      </c>
      <c r="F133" s="20">
        <f t="shared" si="45"/>
        <v>1.3348388671875003E-3</v>
      </c>
      <c r="G133" s="22">
        <f t="shared" si="41"/>
        <v>5.5614416377362472</v>
      </c>
      <c r="H133" s="22">
        <f t="shared" si="46"/>
        <v>4166.376762353465</v>
      </c>
      <c r="I133" s="22">
        <f>SUM($G$29:G133)-SUM($K$28:K132)</f>
        <v>49.369990678854265</v>
      </c>
      <c r="J133" s="22"/>
      <c r="K133" s="22">
        <f t="shared" si="42"/>
        <v>0</v>
      </c>
      <c r="L133" s="22">
        <f t="shared" si="43"/>
        <v>0</v>
      </c>
      <c r="M133" s="22">
        <f t="shared" si="44"/>
        <v>0</v>
      </c>
    </row>
    <row r="134" spans="1:13" x14ac:dyDescent="0.25">
      <c r="A134">
        <f t="shared" si="40"/>
        <v>106</v>
      </c>
      <c r="B134" t="s">
        <v>40</v>
      </c>
      <c r="C134">
        <f t="shared" si="37"/>
        <v>7</v>
      </c>
      <c r="D134">
        <f t="shared" si="38"/>
        <v>0</v>
      </c>
      <c r="E134" s="17">
        <f t="shared" si="39"/>
        <v>4166.3767623534823</v>
      </c>
      <c r="F134" s="20">
        <f t="shared" si="45"/>
        <v>1.3348388671875003E-3</v>
      </c>
      <c r="G134" s="22">
        <f t="shared" si="41"/>
        <v>5.5614416377362472</v>
      </c>
      <c r="H134" s="22">
        <f t="shared" si="46"/>
        <v>4166.376762353465</v>
      </c>
      <c r="I134" s="22">
        <f>SUM($G$29:G134)-SUM($K$28:K133)</f>
        <v>54.931432316590872</v>
      </c>
      <c r="J134" s="22"/>
      <c r="K134" s="22">
        <f t="shared" si="42"/>
        <v>0</v>
      </c>
      <c r="L134" s="22">
        <f t="shared" si="43"/>
        <v>0</v>
      </c>
      <c r="M134" s="22">
        <f t="shared" si="44"/>
        <v>0</v>
      </c>
    </row>
    <row r="135" spans="1:13" x14ac:dyDescent="0.25">
      <c r="A135">
        <f t="shared" si="40"/>
        <v>107</v>
      </c>
      <c r="B135" t="s">
        <v>40</v>
      </c>
      <c r="C135">
        <f t="shared" si="37"/>
        <v>7</v>
      </c>
      <c r="D135">
        <f t="shared" si="38"/>
        <v>0</v>
      </c>
      <c r="E135" s="17">
        <f t="shared" si="39"/>
        <v>4166.3767623534823</v>
      </c>
      <c r="F135" s="20">
        <f t="shared" si="45"/>
        <v>1.3348388671875003E-3</v>
      </c>
      <c r="G135" s="22">
        <f t="shared" si="41"/>
        <v>5.5614416377362472</v>
      </c>
      <c r="H135" s="22">
        <f t="shared" si="46"/>
        <v>4166.376762353465</v>
      </c>
      <c r="I135" s="22">
        <f>SUM($G$29:G135)-SUM($K$28:K134)</f>
        <v>60.492873954327479</v>
      </c>
      <c r="J135" s="22"/>
      <c r="K135" s="22">
        <f t="shared" si="42"/>
        <v>0</v>
      </c>
      <c r="L135" s="22">
        <f t="shared" si="43"/>
        <v>0</v>
      </c>
      <c r="M135" s="22">
        <f t="shared" si="44"/>
        <v>0</v>
      </c>
    </row>
    <row r="136" spans="1:13" x14ac:dyDescent="0.25">
      <c r="A136">
        <f t="shared" si="40"/>
        <v>108</v>
      </c>
      <c r="B136" t="s">
        <v>40</v>
      </c>
      <c r="C136">
        <f t="shared" si="37"/>
        <v>7</v>
      </c>
      <c r="D136">
        <f t="shared" si="38"/>
        <v>0</v>
      </c>
      <c r="E136" s="17">
        <f t="shared" si="39"/>
        <v>4166.3767623534823</v>
      </c>
      <c r="F136" s="20">
        <f t="shared" si="45"/>
        <v>1.3348388671875003E-3</v>
      </c>
      <c r="G136" s="22">
        <f t="shared" si="41"/>
        <v>5.5614416377362472</v>
      </c>
      <c r="H136" s="22">
        <f t="shared" si="46"/>
        <v>4166.376762353465</v>
      </c>
      <c r="I136" s="22">
        <f>SUM($G$29:G136)-SUM($K$28:K135)</f>
        <v>66.054315592064086</v>
      </c>
      <c r="J136" s="22"/>
      <c r="K136" s="22">
        <f t="shared" si="42"/>
        <v>0</v>
      </c>
      <c r="L136" s="22">
        <f t="shared" si="43"/>
        <v>0</v>
      </c>
      <c r="M136" s="22">
        <f t="shared" si="44"/>
        <v>0</v>
      </c>
    </row>
    <row r="137" spans="1:13" x14ac:dyDescent="0.25">
      <c r="A137">
        <f t="shared" si="40"/>
        <v>109</v>
      </c>
      <c r="B137" t="s">
        <v>40</v>
      </c>
      <c r="C137">
        <f t="shared" si="37"/>
        <v>7</v>
      </c>
      <c r="D137">
        <f t="shared" si="38"/>
        <v>0</v>
      </c>
      <c r="E137" s="17">
        <f t="shared" si="39"/>
        <v>4166.3767623534823</v>
      </c>
      <c r="F137" s="20">
        <f t="shared" si="45"/>
        <v>1.3348388671875003E-3</v>
      </c>
      <c r="G137" s="22">
        <f t="shared" si="41"/>
        <v>5.5614416377362472</v>
      </c>
      <c r="H137" s="22">
        <f t="shared" si="46"/>
        <v>4166.376762353465</v>
      </c>
      <c r="I137" s="22">
        <f>SUM($G$29:G137)-SUM($K$28:K136)</f>
        <v>71.615757229800693</v>
      </c>
      <c r="J137" s="22"/>
      <c r="K137" s="22">
        <f t="shared" si="42"/>
        <v>0</v>
      </c>
      <c r="L137" s="22">
        <f t="shared" si="43"/>
        <v>0</v>
      </c>
      <c r="M137" s="22">
        <f t="shared" si="44"/>
        <v>0</v>
      </c>
    </row>
    <row r="138" spans="1:13" x14ac:dyDescent="0.25">
      <c r="A138">
        <f t="shared" si="40"/>
        <v>110</v>
      </c>
      <c r="B138" t="s">
        <v>40</v>
      </c>
      <c r="C138">
        <f t="shared" si="37"/>
        <v>7</v>
      </c>
      <c r="D138">
        <f t="shared" si="38"/>
        <v>0</v>
      </c>
      <c r="E138" s="17">
        <f t="shared" si="39"/>
        <v>4166.3767623534823</v>
      </c>
      <c r="F138" s="20">
        <f t="shared" si="45"/>
        <v>1.3348388671875003E-3</v>
      </c>
      <c r="G138" s="22">
        <f t="shared" si="41"/>
        <v>5.5614416377362472</v>
      </c>
      <c r="H138" s="22">
        <f t="shared" si="46"/>
        <v>4166.376762353465</v>
      </c>
      <c r="I138" s="22">
        <f>SUM($G$29:G138)-SUM($K$28:K137)</f>
        <v>77.1771988675373</v>
      </c>
      <c r="J138" s="22"/>
      <c r="K138" s="22">
        <f t="shared" si="42"/>
        <v>0</v>
      </c>
      <c r="L138" s="22">
        <f t="shared" si="43"/>
        <v>0</v>
      </c>
      <c r="M138" s="22">
        <f t="shared" si="44"/>
        <v>0</v>
      </c>
    </row>
    <row r="139" spans="1:13" x14ac:dyDescent="0.25">
      <c r="A139">
        <f t="shared" si="40"/>
        <v>111</v>
      </c>
      <c r="B139" t="s">
        <v>40</v>
      </c>
      <c r="C139">
        <f t="shared" si="37"/>
        <v>7</v>
      </c>
      <c r="D139">
        <f t="shared" si="38"/>
        <v>1</v>
      </c>
      <c r="E139" s="17">
        <f t="shared" si="39"/>
        <v>4166.3767623534823</v>
      </c>
      <c r="F139" s="20">
        <f t="shared" si="45"/>
        <v>1.3348388671875003E-3</v>
      </c>
      <c r="G139" s="22">
        <f t="shared" si="41"/>
        <v>5.5614416377362472</v>
      </c>
      <c r="H139" s="22">
        <f>IFERROR(SUMIF($X$17:$X$24,C139,$AB$17:$AB$24),0)</f>
        <v>4166.376762353465</v>
      </c>
      <c r="I139" s="22">
        <f>SUM($G$29:G139)-SUM($K$28:K138)</f>
        <v>82.738640505273906</v>
      </c>
      <c r="J139" s="22">
        <f>H139+I139</f>
        <v>4249.1154028587389</v>
      </c>
      <c r="K139" s="22">
        <f t="shared" si="42"/>
        <v>82.738640505273906</v>
      </c>
      <c r="L139" s="22">
        <f t="shared" si="43"/>
        <v>4166.376762353465</v>
      </c>
      <c r="M139" s="22">
        <f t="shared" si="44"/>
        <v>0</v>
      </c>
    </row>
    <row r="140" spans="1:13" x14ac:dyDescent="0.25">
      <c r="A140">
        <f t="shared" si="40"/>
        <v>112</v>
      </c>
      <c r="B140" t="s">
        <v>40</v>
      </c>
      <c r="C140">
        <f t="shared" si="37"/>
        <v>8</v>
      </c>
      <c r="D140">
        <f t="shared" si="38"/>
        <v>0</v>
      </c>
      <c r="E140" s="17">
        <f t="shared" si="39"/>
        <v>1.7280399333685637E-11</v>
      </c>
      <c r="F140" s="20">
        <f t="shared" si="45"/>
        <v>0</v>
      </c>
      <c r="G140" s="22">
        <f t="shared" si="41"/>
        <v>0</v>
      </c>
      <c r="H140" s="22">
        <f t="shared" si="46"/>
        <v>0</v>
      </c>
      <c r="I140" s="22">
        <f>SUM($G$29:G140)-SUM($K$28:K139)</f>
        <v>0</v>
      </c>
      <c r="J140" s="22"/>
      <c r="K140" s="22">
        <f t="shared" si="42"/>
        <v>0</v>
      </c>
      <c r="L140" s="22">
        <f t="shared" si="43"/>
        <v>0</v>
      </c>
      <c r="M140" s="22">
        <f t="shared" si="44"/>
        <v>0</v>
      </c>
    </row>
    <row r="141" spans="1:13" x14ac:dyDescent="0.25">
      <c r="A141">
        <f t="shared" si="40"/>
        <v>113</v>
      </c>
      <c r="B141" t="s">
        <v>40</v>
      </c>
      <c r="C141">
        <f t="shared" si="37"/>
        <v>8</v>
      </c>
      <c r="D141">
        <f t="shared" si="38"/>
        <v>0</v>
      </c>
      <c r="E141" s="17">
        <f t="shared" si="39"/>
        <v>1.7280399333685637E-11</v>
      </c>
      <c r="F141" s="20">
        <f t="shared" si="45"/>
        <v>0</v>
      </c>
      <c r="G141" s="22">
        <f t="shared" si="41"/>
        <v>0</v>
      </c>
      <c r="H141" s="22">
        <f t="shared" si="46"/>
        <v>0</v>
      </c>
      <c r="I141" s="22">
        <f>SUM($G$29:G141)-SUM($K$28:K140)</f>
        <v>0</v>
      </c>
      <c r="J141" s="22"/>
      <c r="K141" s="22">
        <f t="shared" si="42"/>
        <v>0</v>
      </c>
      <c r="L141" s="22">
        <f t="shared" si="43"/>
        <v>0</v>
      </c>
      <c r="M141" s="22">
        <f t="shared" si="44"/>
        <v>0</v>
      </c>
    </row>
    <row r="142" spans="1:13" x14ac:dyDescent="0.25">
      <c r="A142">
        <f t="shared" si="40"/>
        <v>114</v>
      </c>
      <c r="B142" t="s">
        <v>40</v>
      </c>
      <c r="C142">
        <f t="shared" si="37"/>
        <v>8</v>
      </c>
      <c r="D142">
        <f t="shared" si="38"/>
        <v>0</v>
      </c>
      <c r="E142" s="17">
        <f t="shared" si="39"/>
        <v>1.7280399333685637E-11</v>
      </c>
      <c r="F142" s="20">
        <f t="shared" si="45"/>
        <v>0</v>
      </c>
      <c r="G142" s="22">
        <f t="shared" si="41"/>
        <v>0</v>
      </c>
      <c r="H142" s="22">
        <f t="shared" si="46"/>
        <v>0</v>
      </c>
      <c r="I142" s="22">
        <f>SUM($G$29:G142)-SUM($K$28:K141)</f>
        <v>0</v>
      </c>
      <c r="J142" s="22"/>
      <c r="K142" s="22">
        <f t="shared" si="42"/>
        <v>0</v>
      </c>
      <c r="L142" s="22">
        <f t="shared" si="43"/>
        <v>0</v>
      </c>
      <c r="M142" s="22">
        <f t="shared" si="44"/>
        <v>0</v>
      </c>
    </row>
    <row r="143" spans="1:13" x14ac:dyDescent="0.25">
      <c r="A143">
        <f t="shared" si="40"/>
        <v>115</v>
      </c>
      <c r="B143" t="s">
        <v>40</v>
      </c>
      <c r="C143">
        <f t="shared" si="37"/>
        <v>8</v>
      </c>
      <c r="D143">
        <f t="shared" si="38"/>
        <v>0</v>
      </c>
      <c r="E143" s="17">
        <f t="shared" si="39"/>
        <v>1.7280399333685637E-11</v>
      </c>
      <c r="F143" s="20">
        <f t="shared" si="45"/>
        <v>0</v>
      </c>
      <c r="G143" s="22">
        <f t="shared" si="41"/>
        <v>0</v>
      </c>
      <c r="H143" s="22">
        <f t="shared" si="46"/>
        <v>0</v>
      </c>
      <c r="I143" s="22">
        <f>SUM($G$29:G143)-SUM($K$28:K142)</f>
        <v>0</v>
      </c>
      <c r="J143" s="22"/>
      <c r="K143" s="22">
        <f t="shared" si="42"/>
        <v>0</v>
      </c>
      <c r="L143" s="22">
        <f t="shared" si="43"/>
        <v>0</v>
      </c>
      <c r="M143" s="22">
        <f t="shared" si="44"/>
        <v>0</v>
      </c>
    </row>
    <row r="144" spans="1:13" x14ac:dyDescent="0.25">
      <c r="A144">
        <f t="shared" si="40"/>
        <v>116</v>
      </c>
      <c r="B144" t="s">
        <v>40</v>
      </c>
      <c r="C144">
        <f t="shared" si="37"/>
        <v>8</v>
      </c>
      <c r="D144">
        <f t="shared" si="38"/>
        <v>0</v>
      </c>
      <c r="E144" s="17">
        <f t="shared" si="39"/>
        <v>1.7280399333685637E-11</v>
      </c>
      <c r="F144" s="20">
        <f t="shared" si="45"/>
        <v>0</v>
      </c>
      <c r="G144" s="22">
        <f t="shared" si="41"/>
        <v>0</v>
      </c>
      <c r="H144" s="22">
        <f t="shared" si="46"/>
        <v>0</v>
      </c>
      <c r="I144" s="22">
        <f>SUM($G$29:G144)-SUM($K$28:K143)</f>
        <v>0</v>
      </c>
      <c r="J144" s="22"/>
      <c r="K144" s="22">
        <f t="shared" si="42"/>
        <v>0</v>
      </c>
      <c r="L144" s="22">
        <f t="shared" si="43"/>
        <v>0</v>
      </c>
      <c r="M144" s="22">
        <f t="shared" si="44"/>
        <v>0</v>
      </c>
    </row>
    <row r="145" spans="1:13" x14ac:dyDescent="0.25">
      <c r="A145">
        <f t="shared" si="40"/>
        <v>117</v>
      </c>
      <c r="B145" t="s">
        <v>40</v>
      </c>
      <c r="C145">
        <f t="shared" si="37"/>
        <v>8</v>
      </c>
      <c r="D145">
        <f t="shared" si="38"/>
        <v>0</v>
      </c>
      <c r="E145" s="17">
        <f t="shared" si="39"/>
        <v>1.7280399333685637E-11</v>
      </c>
      <c r="F145" s="20">
        <f t="shared" si="45"/>
        <v>0</v>
      </c>
      <c r="G145" s="22">
        <f t="shared" si="41"/>
        <v>0</v>
      </c>
      <c r="H145" s="22">
        <f t="shared" si="46"/>
        <v>0</v>
      </c>
      <c r="I145" s="22">
        <f>SUM($G$29:G145)-SUM($K$28:K144)</f>
        <v>0</v>
      </c>
      <c r="J145" s="22"/>
      <c r="K145" s="22">
        <f t="shared" si="42"/>
        <v>0</v>
      </c>
      <c r="L145" s="22">
        <f t="shared" si="43"/>
        <v>0</v>
      </c>
      <c r="M145" s="22">
        <f t="shared" si="44"/>
        <v>0</v>
      </c>
    </row>
    <row r="146" spans="1:13" x14ac:dyDescent="0.25">
      <c r="A146">
        <f t="shared" si="40"/>
        <v>118</v>
      </c>
      <c r="B146" t="s">
        <v>40</v>
      </c>
      <c r="C146">
        <f t="shared" si="37"/>
        <v>8</v>
      </c>
      <c r="D146">
        <f t="shared" si="38"/>
        <v>0</v>
      </c>
      <c r="E146" s="17">
        <f t="shared" si="39"/>
        <v>1.7280399333685637E-11</v>
      </c>
      <c r="F146" s="20">
        <f t="shared" si="45"/>
        <v>0</v>
      </c>
      <c r="G146" s="22">
        <f t="shared" si="41"/>
        <v>0</v>
      </c>
      <c r="H146" s="22">
        <f t="shared" si="46"/>
        <v>0</v>
      </c>
      <c r="I146" s="22">
        <f>SUM($G$29:G146)-SUM($K$28:K145)</f>
        <v>0</v>
      </c>
      <c r="J146" s="22"/>
      <c r="K146" s="22">
        <f t="shared" si="42"/>
        <v>0</v>
      </c>
      <c r="L146" s="22">
        <f t="shared" si="43"/>
        <v>0</v>
      </c>
      <c r="M146" s="22">
        <f t="shared" si="44"/>
        <v>0</v>
      </c>
    </row>
    <row r="147" spans="1:13" x14ac:dyDescent="0.25">
      <c r="A147">
        <f t="shared" si="40"/>
        <v>119</v>
      </c>
      <c r="B147" t="s">
        <v>40</v>
      </c>
      <c r="C147">
        <f t="shared" si="37"/>
        <v>8</v>
      </c>
      <c r="D147">
        <f t="shared" si="38"/>
        <v>0</v>
      </c>
      <c r="E147" s="17">
        <f t="shared" si="39"/>
        <v>1.7280399333685637E-11</v>
      </c>
      <c r="F147" s="20">
        <f t="shared" si="45"/>
        <v>0</v>
      </c>
      <c r="G147" s="22">
        <f t="shared" si="41"/>
        <v>0</v>
      </c>
      <c r="H147" s="22">
        <f t="shared" si="46"/>
        <v>0</v>
      </c>
      <c r="I147" s="22">
        <f>SUM($G$29:G147)-SUM($K$28:K146)</f>
        <v>0</v>
      </c>
      <c r="J147" s="22"/>
      <c r="K147" s="22">
        <f t="shared" si="42"/>
        <v>0</v>
      </c>
      <c r="L147" s="22">
        <f t="shared" si="43"/>
        <v>0</v>
      </c>
      <c r="M147" s="22">
        <f t="shared" si="44"/>
        <v>0</v>
      </c>
    </row>
    <row r="148" spans="1:13" x14ac:dyDescent="0.25">
      <c r="A148">
        <f t="shared" si="40"/>
        <v>120</v>
      </c>
      <c r="B148" t="s">
        <v>40</v>
      </c>
      <c r="C148">
        <f t="shared" si="37"/>
        <v>8</v>
      </c>
      <c r="D148">
        <f t="shared" si="38"/>
        <v>0</v>
      </c>
      <c r="E148" s="17">
        <f t="shared" si="39"/>
        <v>1.7280399333685637E-11</v>
      </c>
      <c r="F148" s="20">
        <f t="shared" si="45"/>
        <v>0</v>
      </c>
      <c r="G148" s="22">
        <f t="shared" si="41"/>
        <v>0</v>
      </c>
      <c r="H148" s="22">
        <f t="shared" si="46"/>
        <v>0</v>
      </c>
      <c r="I148" s="22">
        <f>SUM($G$29:G148)-SUM($K$28:K147)</f>
        <v>0</v>
      </c>
      <c r="J148" s="22"/>
      <c r="K148" s="22">
        <f t="shared" si="42"/>
        <v>0</v>
      </c>
      <c r="L148" s="22">
        <f t="shared" si="43"/>
        <v>0</v>
      </c>
      <c r="M148" s="22">
        <f t="shared" si="44"/>
        <v>0</v>
      </c>
    </row>
    <row r="149" spans="1:13" x14ac:dyDescent="0.25">
      <c r="A149">
        <f t="shared" si="40"/>
        <v>121</v>
      </c>
      <c r="B149" t="s">
        <v>40</v>
      </c>
      <c r="C149">
        <f t="shared" si="37"/>
        <v>8</v>
      </c>
      <c r="D149">
        <f t="shared" si="38"/>
        <v>0</v>
      </c>
      <c r="E149" s="17">
        <f t="shared" si="39"/>
        <v>1.7280399333685637E-11</v>
      </c>
      <c r="F149" s="20">
        <f t="shared" si="45"/>
        <v>0</v>
      </c>
      <c r="G149" s="22">
        <f t="shared" si="41"/>
        <v>0</v>
      </c>
      <c r="H149" s="22">
        <f t="shared" si="46"/>
        <v>0</v>
      </c>
      <c r="I149" s="22">
        <f>SUM($G$29:G149)-SUM($K$28:K148)</f>
        <v>0</v>
      </c>
      <c r="J149" s="22"/>
      <c r="K149" s="22">
        <f t="shared" si="42"/>
        <v>0</v>
      </c>
      <c r="L149" s="22">
        <f t="shared" si="43"/>
        <v>0</v>
      </c>
      <c r="M149" s="22">
        <f t="shared" si="44"/>
        <v>0</v>
      </c>
    </row>
    <row r="150" spans="1:13" x14ac:dyDescent="0.25">
      <c r="A150">
        <f t="shared" si="40"/>
        <v>122</v>
      </c>
      <c r="B150" t="s">
        <v>40</v>
      </c>
      <c r="C150">
        <f t="shared" si="37"/>
        <v>8</v>
      </c>
      <c r="D150">
        <f t="shared" si="38"/>
        <v>0</v>
      </c>
      <c r="E150" s="17">
        <f t="shared" si="39"/>
        <v>1.7280399333685637E-11</v>
      </c>
      <c r="F150" s="20">
        <f t="shared" si="45"/>
        <v>0</v>
      </c>
      <c r="G150" s="22">
        <f t="shared" si="41"/>
        <v>0</v>
      </c>
      <c r="H150" s="22">
        <f t="shared" si="46"/>
        <v>0</v>
      </c>
      <c r="I150" s="22">
        <f>SUM($G$29:G150)-SUM($K$28:K149)</f>
        <v>0</v>
      </c>
      <c r="J150" s="22"/>
      <c r="K150" s="22">
        <f t="shared" si="42"/>
        <v>0</v>
      </c>
      <c r="L150" s="22">
        <f t="shared" si="43"/>
        <v>0</v>
      </c>
      <c r="M150" s="22">
        <f t="shared" si="44"/>
        <v>0</v>
      </c>
    </row>
    <row r="151" spans="1:13" x14ac:dyDescent="0.25">
      <c r="A151">
        <f t="shared" si="40"/>
        <v>123</v>
      </c>
      <c r="B151" t="s">
        <v>40</v>
      </c>
      <c r="C151">
        <f t="shared" si="37"/>
        <v>8</v>
      </c>
      <c r="D151">
        <f t="shared" si="38"/>
        <v>0</v>
      </c>
      <c r="E151" s="17">
        <f t="shared" si="39"/>
        <v>1.7280399333685637E-11</v>
      </c>
      <c r="F151" s="20">
        <f t="shared" si="45"/>
        <v>0</v>
      </c>
      <c r="G151" s="22">
        <f t="shared" si="41"/>
        <v>0</v>
      </c>
      <c r="H151" s="22">
        <f t="shared" si="46"/>
        <v>0</v>
      </c>
      <c r="I151" s="22">
        <f>SUM($G$29:G151)-SUM($K$28:K150)</f>
        <v>0</v>
      </c>
      <c r="J151" s="22"/>
      <c r="K151" s="22">
        <f t="shared" si="42"/>
        <v>0</v>
      </c>
      <c r="L151" s="22">
        <f t="shared" si="43"/>
        <v>0</v>
      </c>
      <c r="M151" s="22">
        <f t="shared" si="44"/>
        <v>0</v>
      </c>
    </row>
    <row r="152" spans="1:13" x14ac:dyDescent="0.25">
      <c r="A152">
        <f t="shared" si="40"/>
        <v>124</v>
      </c>
      <c r="B152" t="s">
        <v>40</v>
      </c>
      <c r="C152">
        <f t="shared" si="37"/>
        <v>8</v>
      </c>
      <c r="D152">
        <f t="shared" si="38"/>
        <v>0</v>
      </c>
      <c r="E152" s="17">
        <f t="shared" si="39"/>
        <v>1.7280399333685637E-11</v>
      </c>
      <c r="F152" s="20">
        <f t="shared" si="45"/>
        <v>0</v>
      </c>
      <c r="G152" s="22">
        <f t="shared" si="41"/>
        <v>0</v>
      </c>
      <c r="H152" s="22">
        <f t="shared" si="46"/>
        <v>0</v>
      </c>
      <c r="I152" s="22">
        <f>SUM($G$29:G152)-SUM($K$28:K151)</f>
        <v>0</v>
      </c>
      <c r="J152" s="22"/>
      <c r="K152" s="22">
        <f t="shared" si="42"/>
        <v>0</v>
      </c>
      <c r="L152" s="22">
        <f t="shared" si="43"/>
        <v>0</v>
      </c>
      <c r="M152" s="22">
        <f t="shared" si="44"/>
        <v>0</v>
      </c>
    </row>
    <row r="153" spans="1:13" x14ac:dyDescent="0.25">
      <c r="A153">
        <f t="shared" si="40"/>
        <v>125</v>
      </c>
      <c r="B153" t="s">
        <v>40</v>
      </c>
      <c r="C153">
        <f t="shared" si="37"/>
        <v>8</v>
      </c>
      <c r="D153">
        <f t="shared" si="38"/>
        <v>1</v>
      </c>
      <c r="E153" s="17">
        <f t="shared" si="39"/>
        <v>1.7280399333685637E-11</v>
      </c>
      <c r="F153" s="20">
        <f t="shared" si="45"/>
        <v>0</v>
      </c>
      <c r="G153" s="22">
        <f t="shared" si="41"/>
        <v>0</v>
      </c>
      <c r="H153" s="22">
        <f t="shared" si="46"/>
        <v>0</v>
      </c>
      <c r="I153" s="22">
        <f>SUM($G$29:G153)-SUM($K$28:K152)</f>
        <v>0</v>
      </c>
      <c r="J153" s="22"/>
      <c r="K153" s="22">
        <f t="shared" si="42"/>
        <v>0</v>
      </c>
      <c r="L153" s="22">
        <f t="shared" si="43"/>
        <v>0</v>
      </c>
      <c r="M153" s="22">
        <f t="shared" si="44"/>
        <v>0</v>
      </c>
    </row>
    <row r="154" spans="1:13" x14ac:dyDescent="0.25">
      <c r="A154">
        <f t="shared" si="40"/>
        <v>126</v>
      </c>
      <c r="B154" t="s">
        <v>40</v>
      </c>
      <c r="C154">
        <f t="shared" si="37"/>
        <v>9</v>
      </c>
      <c r="D154">
        <f t="shared" si="38"/>
        <v>0</v>
      </c>
      <c r="E154" s="17">
        <f t="shared" si="39"/>
        <v>1.7280399333685637E-11</v>
      </c>
      <c r="F154" s="20">
        <f t="shared" si="45"/>
        <v>0</v>
      </c>
      <c r="G154" s="22">
        <f t="shared" si="41"/>
        <v>0</v>
      </c>
      <c r="H154" s="22">
        <f t="shared" si="46"/>
        <v>0</v>
      </c>
      <c r="I154" s="22">
        <f>SUM($G$29:G154)-SUM($K$28:K153)</f>
        <v>0</v>
      </c>
      <c r="J154" s="22"/>
      <c r="K154" s="22">
        <f t="shared" si="42"/>
        <v>0</v>
      </c>
      <c r="L154" s="22">
        <f t="shared" si="43"/>
        <v>0</v>
      </c>
      <c r="M154" s="22">
        <f t="shared" si="44"/>
        <v>0</v>
      </c>
    </row>
    <row r="155" spans="1:13" x14ac:dyDescent="0.25">
      <c r="A155">
        <f t="shared" si="40"/>
        <v>127</v>
      </c>
      <c r="B155" t="s">
        <v>40</v>
      </c>
      <c r="C155">
        <f t="shared" si="37"/>
        <v>9</v>
      </c>
      <c r="D155">
        <f t="shared" si="38"/>
        <v>0</v>
      </c>
      <c r="E155" s="17">
        <f t="shared" si="39"/>
        <v>1.7280399333685637E-11</v>
      </c>
      <c r="F155" s="20">
        <f t="shared" si="45"/>
        <v>0</v>
      </c>
      <c r="G155" s="22">
        <f t="shared" si="41"/>
        <v>0</v>
      </c>
      <c r="H155" s="22">
        <f t="shared" si="46"/>
        <v>0</v>
      </c>
      <c r="I155" s="22">
        <f>SUM($G$29:G155)-SUM($K$28:K154)</f>
        <v>0</v>
      </c>
      <c r="J155" s="22"/>
      <c r="K155" s="22">
        <f t="shared" si="42"/>
        <v>0</v>
      </c>
      <c r="L155" s="22">
        <f t="shared" si="43"/>
        <v>0</v>
      </c>
      <c r="M155" s="22">
        <f t="shared" si="44"/>
        <v>0</v>
      </c>
    </row>
    <row r="156" spans="1:13" x14ac:dyDescent="0.25">
      <c r="A156">
        <f t="shared" si="40"/>
        <v>128</v>
      </c>
      <c r="B156" t="s">
        <v>40</v>
      </c>
      <c r="C156">
        <f t="shared" si="37"/>
        <v>9</v>
      </c>
      <c r="D156">
        <f t="shared" si="38"/>
        <v>0</v>
      </c>
      <c r="E156" s="17">
        <f t="shared" si="39"/>
        <v>1.7280399333685637E-11</v>
      </c>
      <c r="F156" s="20">
        <f t="shared" si="45"/>
        <v>0</v>
      </c>
      <c r="G156" s="22">
        <f t="shared" si="41"/>
        <v>0</v>
      </c>
      <c r="H156" s="22">
        <f t="shared" si="46"/>
        <v>0</v>
      </c>
      <c r="I156" s="22">
        <f>SUM($G$29:G156)-SUM($K$28:K155)</f>
        <v>0</v>
      </c>
      <c r="J156" s="22"/>
      <c r="K156" s="22">
        <f t="shared" si="42"/>
        <v>0</v>
      </c>
      <c r="L156" s="22">
        <f t="shared" si="43"/>
        <v>0</v>
      </c>
      <c r="M156" s="22">
        <f t="shared" si="44"/>
        <v>0</v>
      </c>
    </row>
    <row r="157" spans="1:13" x14ac:dyDescent="0.25">
      <c r="A157">
        <f t="shared" si="40"/>
        <v>129</v>
      </c>
      <c r="B157" t="s">
        <v>40</v>
      </c>
      <c r="C157">
        <f t="shared" si="37"/>
        <v>9</v>
      </c>
      <c r="D157">
        <f t="shared" si="38"/>
        <v>0</v>
      </c>
      <c r="E157" s="17">
        <f t="shared" si="39"/>
        <v>1.7280399333685637E-11</v>
      </c>
      <c r="F157" s="20">
        <f t="shared" si="45"/>
        <v>0</v>
      </c>
      <c r="G157" s="22">
        <f t="shared" si="41"/>
        <v>0</v>
      </c>
      <c r="H157" s="22">
        <f t="shared" si="46"/>
        <v>0</v>
      </c>
      <c r="I157" s="22">
        <f>SUM($G$29:G157)-SUM($K$28:K156)</f>
        <v>0</v>
      </c>
      <c r="J157" s="22"/>
      <c r="K157" s="22">
        <f t="shared" si="42"/>
        <v>0</v>
      </c>
      <c r="L157" s="22">
        <f t="shared" si="43"/>
        <v>0</v>
      </c>
      <c r="M157" s="22">
        <f t="shared" si="44"/>
        <v>0</v>
      </c>
    </row>
    <row r="158" spans="1:13" x14ac:dyDescent="0.25">
      <c r="A158">
        <f t="shared" si="40"/>
        <v>130</v>
      </c>
      <c r="B158" t="s">
        <v>40</v>
      </c>
      <c r="C158">
        <f t="shared" ref="C158:C192" si="47">IF(B158=B157,INT((A158)/$C$6),C157+1)</f>
        <v>9</v>
      </c>
      <c r="D158">
        <f t="shared" ref="D158:D192" si="48">IF(C158=C159,0,1)</f>
        <v>0</v>
      </c>
      <c r="E158" s="17">
        <f t="shared" ref="E158:E192" si="49">E157-L157</f>
        <v>1.7280399333685637E-11</v>
      </c>
      <c r="F158" s="20">
        <f t="shared" si="45"/>
        <v>0</v>
      </c>
      <c r="G158" s="22">
        <f t="shared" si="41"/>
        <v>0</v>
      </c>
      <c r="H158" s="22">
        <f t="shared" si="46"/>
        <v>0</v>
      </c>
      <c r="I158" s="22">
        <f>SUM($G$29:G158)-SUM($K$28:K157)</f>
        <v>0</v>
      </c>
      <c r="J158" s="22"/>
      <c r="K158" s="22">
        <f t="shared" si="42"/>
        <v>0</v>
      </c>
      <c r="L158" s="22">
        <f t="shared" si="43"/>
        <v>0</v>
      </c>
      <c r="M158" s="22">
        <f t="shared" si="44"/>
        <v>0</v>
      </c>
    </row>
    <row r="159" spans="1:13" x14ac:dyDescent="0.25">
      <c r="A159">
        <f t="shared" si="40"/>
        <v>131</v>
      </c>
      <c r="B159" t="s">
        <v>40</v>
      </c>
      <c r="C159">
        <f t="shared" si="47"/>
        <v>9</v>
      </c>
      <c r="D159">
        <f t="shared" si="48"/>
        <v>0</v>
      </c>
      <c r="E159" s="17">
        <f t="shared" si="49"/>
        <v>1.7280399333685637E-11</v>
      </c>
      <c r="F159" s="20">
        <f t="shared" si="45"/>
        <v>0</v>
      </c>
      <c r="G159" s="22">
        <f t="shared" si="41"/>
        <v>0</v>
      </c>
      <c r="H159" s="22">
        <f t="shared" si="46"/>
        <v>0</v>
      </c>
      <c r="I159" s="22">
        <f>SUM($G$29:G159)-SUM($K$28:K158)</f>
        <v>0</v>
      </c>
      <c r="J159" s="22"/>
      <c r="K159" s="22">
        <f t="shared" si="42"/>
        <v>0</v>
      </c>
      <c r="L159" s="22">
        <f t="shared" si="43"/>
        <v>0</v>
      </c>
      <c r="M159" s="22">
        <f t="shared" si="44"/>
        <v>0</v>
      </c>
    </row>
    <row r="160" spans="1:13" x14ac:dyDescent="0.25">
      <c r="A160">
        <f t="shared" si="40"/>
        <v>132</v>
      </c>
      <c r="B160" t="s">
        <v>40</v>
      </c>
      <c r="C160">
        <f t="shared" si="47"/>
        <v>9</v>
      </c>
      <c r="D160">
        <f t="shared" si="48"/>
        <v>0</v>
      </c>
      <c r="E160" s="17">
        <f t="shared" si="49"/>
        <v>1.7280399333685637E-11</v>
      </c>
      <c r="F160" s="20">
        <f t="shared" si="45"/>
        <v>0</v>
      </c>
      <c r="G160" s="22">
        <f t="shared" si="41"/>
        <v>0</v>
      </c>
      <c r="H160" s="22">
        <f t="shared" si="46"/>
        <v>0</v>
      </c>
      <c r="I160" s="22">
        <f>SUM($G$29:G160)-SUM($K$28:K159)</f>
        <v>0</v>
      </c>
      <c r="J160" s="22"/>
      <c r="K160" s="22">
        <f t="shared" si="42"/>
        <v>0</v>
      </c>
      <c r="L160" s="22">
        <f t="shared" si="43"/>
        <v>0</v>
      </c>
      <c r="M160" s="22">
        <f t="shared" si="44"/>
        <v>0</v>
      </c>
    </row>
    <row r="161" spans="1:13" x14ac:dyDescent="0.25">
      <c r="A161">
        <f t="shared" si="40"/>
        <v>133</v>
      </c>
      <c r="B161" t="s">
        <v>40</v>
      </c>
      <c r="C161">
        <f t="shared" si="47"/>
        <v>9</v>
      </c>
      <c r="D161">
        <f t="shared" si="48"/>
        <v>0</v>
      </c>
      <c r="E161" s="17">
        <f t="shared" si="49"/>
        <v>1.7280399333685637E-11</v>
      </c>
      <c r="F161" s="20">
        <f t="shared" si="45"/>
        <v>0</v>
      </c>
      <c r="G161" s="22">
        <f t="shared" si="41"/>
        <v>0</v>
      </c>
      <c r="H161" s="22">
        <f t="shared" si="46"/>
        <v>0</v>
      </c>
      <c r="I161" s="22">
        <f>SUM($G$29:G161)-SUM($K$28:K160)</f>
        <v>0</v>
      </c>
      <c r="J161" s="22"/>
      <c r="K161" s="22">
        <f t="shared" si="42"/>
        <v>0</v>
      </c>
      <c r="L161" s="22">
        <f t="shared" si="43"/>
        <v>0</v>
      </c>
      <c r="M161" s="22">
        <f t="shared" si="44"/>
        <v>0</v>
      </c>
    </row>
    <row r="162" spans="1:13" x14ac:dyDescent="0.25">
      <c r="A162">
        <f t="shared" si="40"/>
        <v>134</v>
      </c>
      <c r="B162" t="s">
        <v>40</v>
      </c>
      <c r="C162">
        <f t="shared" si="47"/>
        <v>9</v>
      </c>
      <c r="D162">
        <f t="shared" si="48"/>
        <v>0</v>
      </c>
      <c r="E162" s="17">
        <f t="shared" si="49"/>
        <v>1.7280399333685637E-11</v>
      </c>
      <c r="F162" s="20">
        <f t="shared" si="45"/>
        <v>0</v>
      </c>
      <c r="G162" s="22">
        <f t="shared" si="41"/>
        <v>0</v>
      </c>
      <c r="H162" s="22">
        <f t="shared" si="46"/>
        <v>0</v>
      </c>
      <c r="I162" s="22">
        <f>SUM($G$29:G162)-SUM($K$28:K161)</f>
        <v>0</v>
      </c>
      <c r="J162" s="22"/>
      <c r="K162" s="22">
        <f t="shared" si="42"/>
        <v>0</v>
      </c>
      <c r="L162" s="22">
        <f t="shared" si="43"/>
        <v>0</v>
      </c>
      <c r="M162" s="22">
        <f t="shared" si="44"/>
        <v>0</v>
      </c>
    </row>
    <row r="163" spans="1:13" x14ac:dyDescent="0.25">
      <c r="A163">
        <f t="shared" si="40"/>
        <v>135</v>
      </c>
      <c r="B163" t="s">
        <v>40</v>
      </c>
      <c r="C163">
        <f t="shared" si="47"/>
        <v>9</v>
      </c>
      <c r="D163">
        <f t="shared" si="48"/>
        <v>0</v>
      </c>
      <c r="E163" s="17">
        <f t="shared" si="49"/>
        <v>1.7280399333685637E-11</v>
      </c>
      <c r="F163" s="20">
        <f t="shared" si="45"/>
        <v>0</v>
      </c>
      <c r="G163" s="22">
        <f t="shared" si="41"/>
        <v>0</v>
      </c>
      <c r="H163" s="22">
        <f t="shared" si="46"/>
        <v>0</v>
      </c>
      <c r="I163" s="22">
        <f>SUM($G$29:G163)-SUM($K$28:K162)</f>
        <v>0</v>
      </c>
      <c r="J163" s="22"/>
      <c r="K163" s="22">
        <f t="shared" si="42"/>
        <v>0</v>
      </c>
      <c r="L163" s="22">
        <f t="shared" si="43"/>
        <v>0</v>
      </c>
      <c r="M163" s="22">
        <f t="shared" si="44"/>
        <v>0</v>
      </c>
    </row>
    <row r="164" spans="1:13" x14ac:dyDescent="0.25">
      <c r="A164">
        <f t="shared" si="40"/>
        <v>136</v>
      </c>
      <c r="B164" t="s">
        <v>40</v>
      </c>
      <c r="C164">
        <f t="shared" si="47"/>
        <v>9</v>
      </c>
      <c r="D164">
        <f t="shared" si="48"/>
        <v>0</v>
      </c>
      <c r="E164" s="17">
        <f t="shared" si="49"/>
        <v>1.7280399333685637E-11</v>
      </c>
      <c r="F164" s="20">
        <f t="shared" si="45"/>
        <v>0</v>
      </c>
      <c r="G164" s="22">
        <f t="shared" si="41"/>
        <v>0</v>
      </c>
      <c r="H164" s="22">
        <f t="shared" si="46"/>
        <v>0</v>
      </c>
      <c r="I164" s="22">
        <f>SUM($G$29:G164)-SUM($K$28:K163)</f>
        <v>0</v>
      </c>
      <c r="J164" s="22"/>
      <c r="K164" s="22">
        <f t="shared" si="42"/>
        <v>0</v>
      </c>
      <c r="L164" s="22">
        <f t="shared" si="43"/>
        <v>0</v>
      </c>
      <c r="M164" s="22">
        <f t="shared" si="44"/>
        <v>0</v>
      </c>
    </row>
    <row r="165" spans="1:13" x14ac:dyDescent="0.25">
      <c r="A165">
        <f t="shared" si="40"/>
        <v>137</v>
      </c>
      <c r="B165" t="s">
        <v>40</v>
      </c>
      <c r="C165">
        <f t="shared" si="47"/>
        <v>9</v>
      </c>
      <c r="D165">
        <f t="shared" si="48"/>
        <v>0</v>
      </c>
      <c r="E165" s="17">
        <f t="shared" si="49"/>
        <v>1.7280399333685637E-11</v>
      </c>
      <c r="F165" s="20">
        <f t="shared" si="45"/>
        <v>0</v>
      </c>
      <c r="G165" s="22">
        <f t="shared" si="41"/>
        <v>0</v>
      </c>
      <c r="H165" s="22">
        <f t="shared" si="46"/>
        <v>0</v>
      </c>
      <c r="I165" s="22">
        <f>SUM($G$29:G165)-SUM($K$28:K164)</f>
        <v>0</v>
      </c>
      <c r="J165" s="22"/>
      <c r="K165" s="22">
        <f t="shared" si="42"/>
        <v>0</v>
      </c>
      <c r="L165" s="22">
        <f t="shared" si="43"/>
        <v>0</v>
      </c>
      <c r="M165" s="22">
        <f t="shared" si="44"/>
        <v>0</v>
      </c>
    </row>
    <row r="166" spans="1:13" x14ac:dyDescent="0.25">
      <c r="A166">
        <f t="shared" si="40"/>
        <v>138</v>
      </c>
      <c r="B166" t="s">
        <v>40</v>
      </c>
      <c r="C166">
        <f t="shared" si="47"/>
        <v>9</v>
      </c>
      <c r="D166">
        <f t="shared" si="48"/>
        <v>0</v>
      </c>
      <c r="E166" s="17">
        <f t="shared" si="49"/>
        <v>1.7280399333685637E-11</v>
      </c>
      <c r="F166" s="20">
        <f t="shared" si="45"/>
        <v>0</v>
      </c>
      <c r="G166" s="22">
        <f t="shared" si="41"/>
        <v>0</v>
      </c>
      <c r="H166" s="22">
        <f t="shared" si="46"/>
        <v>0</v>
      </c>
      <c r="I166" s="22">
        <f>SUM($G$29:G166)-SUM($K$28:K165)</f>
        <v>0</v>
      </c>
      <c r="J166" s="22"/>
      <c r="K166" s="22">
        <f t="shared" si="42"/>
        <v>0</v>
      </c>
      <c r="L166" s="22">
        <f t="shared" si="43"/>
        <v>0</v>
      </c>
      <c r="M166" s="22">
        <f t="shared" si="44"/>
        <v>0</v>
      </c>
    </row>
    <row r="167" spans="1:13" x14ac:dyDescent="0.25">
      <c r="A167">
        <f t="shared" si="40"/>
        <v>139</v>
      </c>
      <c r="B167" t="s">
        <v>40</v>
      </c>
      <c r="C167">
        <f t="shared" si="47"/>
        <v>9</v>
      </c>
      <c r="D167">
        <f t="shared" si="48"/>
        <v>1</v>
      </c>
      <c r="E167" s="17">
        <f t="shared" si="49"/>
        <v>1.7280399333685637E-11</v>
      </c>
      <c r="F167" s="20">
        <f t="shared" si="45"/>
        <v>0</v>
      </c>
      <c r="G167" s="22">
        <f t="shared" si="41"/>
        <v>0</v>
      </c>
      <c r="H167" s="22">
        <f t="shared" si="46"/>
        <v>0</v>
      </c>
      <c r="I167" s="22">
        <f>SUM($G$29:G167)-SUM($K$28:K166)</f>
        <v>0</v>
      </c>
      <c r="J167" s="22"/>
      <c r="K167" s="22">
        <f t="shared" si="42"/>
        <v>0</v>
      </c>
      <c r="L167" s="22">
        <f t="shared" si="43"/>
        <v>0</v>
      </c>
      <c r="M167" s="22">
        <f t="shared" si="44"/>
        <v>0</v>
      </c>
    </row>
    <row r="168" spans="1:13" x14ac:dyDescent="0.25">
      <c r="A168">
        <f t="shared" si="40"/>
        <v>140</v>
      </c>
      <c r="B168" t="s">
        <v>40</v>
      </c>
      <c r="C168">
        <f t="shared" si="47"/>
        <v>10</v>
      </c>
      <c r="D168">
        <f t="shared" si="48"/>
        <v>0</v>
      </c>
      <c r="E168" s="17">
        <f t="shared" si="49"/>
        <v>1.7280399333685637E-11</v>
      </c>
      <c r="F168" s="20">
        <f t="shared" si="45"/>
        <v>0</v>
      </c>
      <c r="G168" s="22">
        <f t="shared" si="41"/>
        <v>0</v>
      </c>
      <c r="H168" s="22">
        <f t="shared" si="46"/>
        <v>0</v>
      </c>
      <c r="I168" s="22">
        <f>SUM($G$29:G168)-SUM($K$28:K167)</f>
        <v>0</v>
      </c>
      <c r="J168" s="22"/>
      <c r="K168" s="22">
        <f t="shared" si="42"/>
        <v>0</v>
      </c>
      <c r="L168" s="22">
        <f t="shared" si="43"/>
        <v>0</v>
      </c>
      <c r="M168" s="22">
        <f t="shared" si="44"/>
        <v>0</v>
      </c>
    </row>
    <row r="169" spans="1:13" x14ac:dyDescent="0.25">
      <c r="A169">
        <f t="shared" si="40"/>
        <v>141</v>
      </c>
      <c r="B169" t="s">
        <v>40</v>
      </c>
      <c r="C169">
        <f t="shared" si="47"/>
        <v>10</v>
      </c>
      <c r="D169">
        <f t="shared" si="48"/>
        <v>0</v>
      </c>
      <c r="E169" s="17">
        <f t="shared" si="49"/>
        <v>1.7280399333685637E-11</v>
      </c>
      <c r="F169" s="20">
        <f t="shared" si="45"/>
        <v>0</v>
      </c>
      <c r="G169" s="22">
        <f t="shared" si="41"/>
        <v>0</v>
      </c>
      <c r="H169" s="22">
        <f t="shared" si="46"/>
        <v>0</v>
      </c>
      <c r="I169" s="22">
        <f>SUM($G$29:G169)-SUM($K$28:K168)</f>
        <v>0</v>
      </c>
      <c r="J169" s="22"/>
      <c r="K169" s="22">
        <f t="shared" si="42"/>
        <v>0</v>
      </c>
      <c r="L169" s="22">
        <f t="shared" si="43"/>
        <v>0</v>
      </c>
      <c r="M169" s="22">
        <f t="shared" si="44"/>
        <v>0</v>
      </c>
    </row>
    <row r="170" spans="1:13" x14ac:dyDescent="0.25">
      <c r="A170">
        <f t="shared" si="40"/>
        <v>142</v>
      </c>
      <c r="B170" t="s">
        <v>40</v>
      </c>
      <c r="C170">
        <f t="shared" si="47"/>
        <v>10</v>
      </c>
      <c r="D170">
        <f t="shared" si="48"/>
        <v>0</v>
      </c>
      <c r="E170" s="17">
        <f t="shared" si="49"/>
        <v>1.7280399333685637E-11</v>
      </c>
      <c r="F170" s="20">
        <f t="shared" si="45"/>
        <v>0</v>
      </c>
      <c r="G170" s="22">
        <f t="shared" si="41"/>
        <v>0</v>
      </c>
      <c r="H170" s="22">
        <f t="shared" si="46"/>
        <v>0</v>
      </c>
      <c r="I170" s="22">
        <f>SUM($G$29:G170)-SUM($K$28:K169)</f>
        <v>0</v>
      </c>
      <c r="J170" s="22"/>
      <c r="K170" s="22">
        <f t="shared" si="42"/>
        <v>0</v>
      </c>
      <c r="L170" s="22">
        <f t="shared" si="43"/>
        <v>0</v>
      </c>
      <c r="M170" s="22">
        <f t="shared" si="44"/>
        <v>0</v>
      </c>
    </row>
    <row r="171" spans="1:13" x14ac:dyDescent="0.25">
      <c r="A171">
        <f t="shared" si="40"/>
        <v>143</v>
      </c>
      <c r="B171" t="s">
        <v>40</v>
      </c>
      <c r="C171">
        <f t="shared" si="47"/>
        <v>10</v>
      </c>
      <c r="D171">
        <f t="shared" si="48"/>
        <v>0</v>
      </c>
      <c r="E171" s="17">
        <f t="shared" si="49"/>
        <v>1.7280399333685637E-11</v>
      </c>
      <c r="F171" s="20">
        <f t="shared" si="45"/>
        <v>0</v>
      </c>
      <c r="G171" s="22">
        <f t="shared" si="41"/>
        <v>0</v>
      </c>
      <c r="H171" s="22">
        <f t="shared" si="46"/>
        <v>0</v>
      </c>
      <c r="I171" s="22">
        <f>SUM($G$29:G171)-SUM($K$28:K170)</f>
        <v>0</v>
      </c>
      <c r="J171" s="22"/>
      <c r="K171" s="22">
        <f t="shared" si="42"/>
        <v>0</v>
      </c>
      <c r="L171" s="22">
        <f t="shared" si="43"/>
        <v>0</v>
      </c>
      <c r="M171" s="22">
        <f t="shared" si="44"/>
        <v>0</v>
      </c>
    </row>
    <row r="172" spans="1:13" x14ac:dyDescent="0.25">
      <c r="A172">
        <f t="shared" si="40"/>
        <v>144</v>
      </c>
      <c r="B172" t="s">
        <v>40</v>
      </c>
      <c r="C172">
        <f t="shared" si="47"/>
        <v>10</v>
      </c>
      <c r="D172">
        <f t="shared" si="48"/>
        <v>0</v>
      </c>
      <c r="E172" s="17">
        <f t="shared" si="49"/>
        <v>1.7280399333685637E-11</v>
      </c>
      <c r="F172" s="20">
        <f t="shared" si="45"/>
        <v>0</v>
      </c>
      <c r="G172" s="22">
        <f t="shared" si="41"/>
        <v>0</v>
      </c>
      <c r="H172" s="22">
        <f t="shared" si="46"/>
        <v>0</v>
      </c>
      <c r="I172" s="22">
        <f>SUM($G$29:G172)-SUM($K$28:K171)</f>
        <v>0</v>
      </c>
      <c r="J172" s="22"/>
      <c r="K172" s="22">
        <f t="shared" si="42"/>
        <v>0</v>
      </c>
      <c r="L172" s="22">
        <f t="shared" si="43"/>
        <v>0</v>
      </c>
      <c r="M172" s="22">
        <f t="shared" si="44"/>
        <v>0</v>
      </c>
    </row>
    <row r="173" spans="1:13" x14ac:dyDescent="0.25">
      <c r="A173">
        <f t="shared" ref="A173:A192" si="50">A172+1</f>
        <v>145</v>
      </c>
      <c r="B173" t="s">
        <v>40</v>
      </c>
      <c r="C173">
        <f t="shared" si="47"/>
        <v>10</v>
      </c>
      <c r="D173">
        <f t="shared" si="48"/>
        <v>0</v>
      </c>
      <c r="E173" s="17">
        <f t="shared" si="49"/>
        <v>1.7280399333685637E-11</v>
      </c>
      <c r="F173" s="20">
        <f t="shared" si="45"/>
        <v>0</v>
      </c>
      <c r="G173" s="22">
        <f t="shared" ref="G173:G192" si="51">E172*F173</f>
        <v>0</v>
      </c>
      <c r="H173" s="22">
        <f t="shared" si="46"/>
        <v>0</v>
      </c>
      <c r="I173" s="22">
        <f>SUM($G$29:G173)-SUM($K$28:K172)</f>
        <v>0</v>
      </c>
      <c r="J173" s="22"/>
      <c r="K173" s="22">
        <f t="shared" ref="K173:K192" si="52">IF(J173&gt;0,IF(J173&gt;I173,I173,J173),0)</f>
        <v>0</v>
      </c>
      <c r="L173" s="22">
        <f t="shared" ref="L173:L192" si="53">IF(J173&gt;0,IF(J173&gt;K173,J173-K173,0),0)</f>
        <v>0</v>
      </c>
      <c r="M173" s="22">
        <f t="shared" ref="M173:M192" si="54">IF(L173&gt;H173,L173-H173,0)</f>
        <v>0</v>
      </c>
    </row>
    <row r="174" spans="1:13" x14ac:dyDescent="0.25">
      <c r="A174">
        <f t="shared" si="50"/>
        <v>146</v>
      </c>
      <c r="B174" t="s">
        <v>40</v>
      </c>
      <c r="C174">
        <f t="shared" si="47"/>
        <v>10</v>
      </c>
      <c r="D174">
        <f t="shared" si="48"/>
        <v>0</v>
      </c>
      <c r="E174" s="17">
        <f t="shared" si="49"/>
        <v>1.7280399333685637E-11</v>
      </c>
      <c r="F174" s="20">
        <f t="shared" si="45"/>
        <v>0</v>
      </c>
      <c r="G174" s="22">
        <f t="shared" si="51"/>
        <v>0</v>
      </c>
      <c r="H174" s="22">
        <f t="shared" si="46"/>
        <v>0</v>
      </c>
      <c r="I174" s="22">
        <f>SUM($G$29:G174)-SUM($K$28:K173)</f>
        <v>0</v>
      </c>
      <c r="J174" s="22"/>
      <c r="K174" s="22">
        <f t="shared" si="52"/>
        <v>0</v>
      </c>
      <c r="L174" s="22">
        <f t="shared" si="53"/>
        <v>0</v>
      </c>
      <c r="M174" s="22">
        <f t="shared" si="54"/>
        <v>0</v>
      </c>
    </row>
    <row r="175" spans="1:13" x14ac:dyDescent="0.25">
      <c r="A175">
        <f t="shared" si="50"/>
        <v>147</v>
      </c>
      <c r="B175" t="s">
        <v>40</v>
      </c>
      <c r="C175">
        <f t="shared" si="47"/>
        <v>10</v>
      </c>
      <c r="D175">
        <f t="shared" si="48"/>
        <v>0</v>
      </c>
      <c r="E175" s="17">
        <f t="shared" si="49"/>
        <v>1.7280399333685637E-11</v>
      </c>
      <c r="F175" s="20">
        <f t="shared" si="45"/>
        <v>0</v>
      </c>
      <c r="G175" s="22">
        <f t="shared" si="51"/>
        <v>0</v>
      </c>
      <c r="H175" s="22">
        <f t="shared" si="46"/>
        <v>0</v>
      </c>
      <c r="I175" s="22">
        <f>SUM($G$29:G175)-SUM($K$28:K174)</f>
        <v>0</v>
      </c>
      <c r="J175" s="22"/>
      <c r="K175" s="22">
        <f t="shared" si="52"/>
        <v>0</v>
      </c>
      <c r="L175" s="22">
        <f t="shared" si="53"/>
        <v>0</v>
      </c>
      <c r="M175" s="22">
        <f t="shared" si="54"/>
        <v>0</v>
      </c>
    </row>
    <row r="176" spans="1:13" x14ac:dyDescent="0.25">
      <c r="A176">
        <f t="shared" si="50"/>
        <v>148</v>
      </c>
      <c r="B176" t="s">
        <v>40</v>
      </c>
      <c r="C176">
        <f t="shared" si="47"/>
        <v>10</v>
      </c>
      <c r="D176">
        <f t="shared" si="48"/>
        <v>0</v>
      </c>
      <c r="E176" s="17">
        <f t="shared" si="49"/>
        <v>1.7280399333685637E-11</v>
      </c>
      <c r="F176" s="20">
        <f t="shared" si="45"/>
        <v>0</v>
      </c>
      <c r="G176" s="22">
        <f t="shared" si="51"/>
        <v>0</v>
      </c>
      <c r="H176" s="22">
        <f t="shared" si="46"/>
        <v>0</v>
      </c>
      <c r="I176" s="22">
        <f>SUM($G$29:G176)-SUM($K$28:K175)</f>
        <v>0</v>
      </c>
      <c r="J176" s="22"/>
      <c r="K176" s="22">
        <f t="shared" si="52"/>
        <v>0</v>
      </c>
      <c r="L176" s="22">
        <f t="shared" si="53"/>
        <v>0</v>
      </c>
      <c r="M176" s="22">
        <f t="shared" si="54"/>
        <v>0</v>
      </c>
    </row>
    <row r="177" spans="1:13" x14ac:dyDescent="0.25">
      <c r="A177">
        <f t="shared" si="50"/>
        <v>149</v>
      </c>
      <c r="B177" t="s">
        <v>40</v>
      </c>
      <c r="C177">
        <f t="shared" si="47"/>
        <v>10</v>
      </c>
      <c r="D177">
        <f t="shared" si="48"/>
        <v>0</v>
      </c>
      <c r="E177" s="17">
        <f t="shared" si="49"/>
        <v>1.7280399333685637E-11</v>
      </c>
      <c r="F177" s="20">
        <f t="shared" si="45"/>
        <v>0</v>
      </c>
      <c r="G177" s="22">
        <f t="shared" si="51"/>
        <v>0</v>
      </c>
      <c r="H177" s="22">
        <f t="shared" si="46"/>
        <v>0</v>
      </c>
      <c r="I177" s="22">
        <f>SUM($G$29:G177)-SUM($K$28:K176)</f>
        <v>0</v>
      </c>
      <c r="J177" s="22"/>
      <c r="K177" s="22">
        <f t="shared" si="52"/>
        <v>0</v>
      </c>
      <c r="L177" s="22">
        <f t="shared" si="53"/>
        <v>0</v>
      </c>
      <c r="M177" s="22">
        <f t="shared" si="54"/>
        <v>0</v>
      </c>
    </row>
    <row r="178" spans="1:13" x14ac:dyDescent="0.25">
      <c r="A178">
        <f t="shared" si="50"/>
        <v>150</v>
      </c>
      <c r="B178" t="s">
        <v>40</v>
      </c>
      <c r="C178">
        <f t="shared" si="47"/>
        <v>10</v>
      </c>
      <c r="D178">
        <f t="shared" si="48"/>
        <v>0</v>
      </c>
      <c r="E178" s="17">
        <f t="shared" si="49"/>
        <v>1.7280399333685637E-11</v>
      </c>
      <c r="F178" s="20">
        <f t="shared" si="45"/>
        <v>0</v>
      </c>
      <c r="G178" s="22">
        <f t="shared" si="51"/>
        <v>0</v>
      </c>
      <c r="H178" s="22">
        <f t="shared" si="46"/>
        <v>0</v>
      </c>
      <c r="I178" s="22">
        <f>SUM($G$29:G178)-SUM($K$28:K177)</f>
        <v>0</v>
      </c>
      <c r="J178" s="22"/>
      <c r="K178" s="22">
        <f t="shared" si="52"/>
        <v>0</v>
      </c>
      <c r="L178" s="22">
        <f t="shared" si="53"/>
        <v>0</v>
      </c>
      <c r="M178" s="22">
        <f t="shared" si="54"/>
        <v>0</v>
      </c>
    </row>
    <row r="179" spans="1:13" x14ac:dyDescent="0.25">
      <c r="A179">
        <f t="shared" si="50"/>
        <v>151</v>
      </c>
      <c r="B179" t="s">
        <v>40</v>
      </c>
      <c r="C179">
        <f t="shared" si="47"/>
        <v>10</v>
      </c>
      <c r="D179">
        <f t="shared" si="48"/>
        <v>0</v>
      </c>
      <c r="E179" s="17">
        <f t="shared" si="49"/>
        <v>1.7280399333685637E-11</v>
      </c>
      <c r="F179" s="20">
        <f t="shared" si="45"/>
        <v>0</v>
      </c>
      <c r="G179" s="22">
        <f t="shared" si="51"/>
        <v>0</v>
      </c>
      <c r="H179" s="22">
        <f t="shared" si="46"/>
        <v>0</v>
      </c>
      <c r="I179" s="22">
        <f>SUM($G$29:G179)-SUM($K$28:K178)</f>
        <v>0</v>
      </c>
      <c r="J179" s="22"/>
      <c r="K179" s="22">
        <f t="shared" si="52"/>
        <v>0</v>
      </c>
      <c r="L179" s="22">
        <f t="shared" si="53"/>
        <v>0</v>
      </c>
      <c r="M179" s="22">
        <f t="shared" si="54"/>
        <v>0</v>
      </c>
    </row>
    <row r="180" spans="1:13" x14ac:dyDescent="0.25">
      <c r="A180">
        <f t="shared" si="50"/>
        <v>152</v>
      </c>
      <c r="B180" t="s">
        <v>40</v>
      </c>
      <c r="C180">
        <f t="shared" si="47"/>
        <v>10</v>
      </c>
      <c r="D180">
        <f t="shared" si="48"/>
        <v>0</v>
      </c>
      <c r="E180" s="17">
        <f t="shared" si="49"/>
        <v>1.7280399333685637E-11</v>
      </c>
      <c r="F180" s="20">
        <f t="shared" ref="F180:F192" si="55">IFERROR(SUMIF($X$17:$X$24,C180,$AF$17:$AF$24),0)</f>
        <v>0</v>
      </c>
      <c r="G180" s="22">
        <f t="shared" si="51"/>
        <v>0</v>
      </c>
      <c r="H180" s="22">
        <f t="shared" ref="H180:H192" si="56">IFERROR(SUMIF($X$17:$X$24,C180,$AB$17:$AB$24),0)</f>
        <v>0</v>
      </c>
      <c r="I180" s="22">
        <f>SUM($G$29:G180)-SUM($K$28:K179)</f>
        <v>0</v>
      </c>
      <c r="J180" s="22"/>
      <c r="K180" s="22">
        <f t="shared" si="52"/>
        <v>0</v>
      </c>
      <c r="L180" s="22">
        <f t="shared" si="53"/>
        <v>0</v>
      </c>
      <c r="M180" s="22">
        <f t="shared" si="54"/>
        <v>0</v>
      </c>
    </row>
    <row r="181" spans="1:13" x14ac:dyDescent="0.25">
      <c r="A181">
        <f t="shared" si="50"/>
        <v>153</v>
      </c>
      <c r="B181" t="s">
        <v>40</v>
      </c>
      <c r="C181">
        <f t="shared" si="47"/>
        <v>10</v>
      </c>
      <c r="D181">
        <f t="shared" si="48"/>
        <v>1</v>
      </c>
      <c r="E181" s="17">
        <f t="shared" si="49"/>
        <v>1.7280399333685637E-11</v>
      </c>
      <c r="F181" s="20">
        <f t="shared" si="55"/>
        <v>0</v>
      </c>
      <c r="G181" s="22">
        <f t="shared" si="51"/>
        <v>0</v>
      </c>
      <c r="H181" s="22">
        <f t="shared" si="56"/>
        <v>0</v>
      </c>
      <c r="I181" s="22">
        <f>SUM($G$29:G181)-SUM($K$28:K180)</f>
        <v>0</v>
      </c>
      <c r="J181" s="22"/>
      <c r="K181" s="22">
        <f t="shared" si="52"/>
        <v>0</v>
      </c>
      <c r="L181" s="22">
        <f t="shared" si="53"/>
        <v>0</v>
      </c>
      <c r="M181" s="22">
        <f t="shared" si="54"/>
        <v>0</v>
      </c>
    </row>
    <row r="182" spans="1:13" x14ac:dyDescent="0.25">
      <c r="A182">
        <f t="shared" si="50"/>
        <v>154</v>
      </c>
      <c r="B182" t="s">
        <v>40</v>
      </c>
      <c r="C182">
        <f t="shared" si="47"/>
        <v>11</v>
      </c>
      <c r="D182">
        <f t="shared" si="48"/>
        <v>0</v>
      </c>
      <c r="E182" s="17">
        <f t="shared" si="49"/>
        <v>1.7280399333685637E-11</v>
      </c>
      <c r="F182" s="20">
        <f t="shared" si="55"/>
        <v>0</v>
      </c>
      <c r="G182" s="22">
        <f t="shared" si="51"/>
        <v>0</v>
      </c>
      <c r="H182" s="22">
        <f t="shared" si="56"/>
        <v>0</v>
      </c>
      <c r="I182" s="22">
        <f>SUM($G$29:G182)-SUM($K$28:K181)</f>
        <v>0</v>
      </c>
      <c r="J182" s="22"/>
      <c r="K182" s="22">
        <f t="shared" si="52"/>
        <v>0</v>
      </c>
      <c r="L182" s="22">
        <f t="shared" si="53"/>
        <v>0</v>
      </c>
      <c r="M182" s="22">
        <f t="shared" si="54"/>
        <v>0</v>
      </c>
    </row>
    <row r="183" spans="1:13" x14ac:dyDescent="0.25">
      <c r="A183">
        <f t="shared" si="50"/>
        <v>155</v>
      </c>
      <c r="B183" t="s">
        <v>40</v>
      </c>
      <c r="C183">
        <f t="shared" si="47"/>
        <v>11</v>
      </c>
      <c r="D183">
        <f t="shared" si="48"/>
        <v>0</v>
      </c>
      <c r="E183" s="17">
        <f t="shared" si="49"/>
        <v>1.7280399333685637E-11</v>
      </c>
      <c r="F183" s="20">
        <f t="shared" si="55"/>
        <v>0</v>
      </c>
      <c r="G183" s="22">
        <f t="shared" si="51"/>
        <v>0</v>
      </c>
      <c r="H183" s="22">
        <f t="shared" si="56"/>
        <v>0</v>
      </c>
      <c r="I183" s="22">
        <f>SUM($G$29:G183)-SUM($K$28:K182)</f>
        <v>0</v>
      </c>
      <c r="J183" s="22"/>
      <c r="K183" s="22">
        <f t="shared" si="52"/>
        <v>0</v>
      </c>
      <c r="L183" s="22">
        <f t="shared" si="53"/>
        <v>0</v>
      </c>
      <c r="M183" s="22">
        <f t="shared" si="54"/>
        <v>0</v>
      </c>
    </row>
    <row r="184" spans="1:13" x14ac:dyDescent="0.25">
      <c r="A184">
        <f t="shared" si="50"/>
        <v>156</v>
      </c>
      <c r="B184" t="s">
        <v>40</v>
      </c>
      <c r="C184">
        <f t="shared" si="47"/>
        <v>11</v>
      </c>
      <c r="D184">
        <f t="shared" si="48"/>
        <v>0</v>
      </c>
      <c r="E184" s="17">
        <f t="shared" si="49"/>
        <v>1.7280399333685637E-11</v>
      </c>
      <c r="F184" s="20">
        <f t="shared" si="55"/>
        <v>0</v>
      </c>
      <c r="G184" s="22">
        <f t="shared" si="51"/>
        <v>0</v>
      </c>
      <c r="H184" s="22">
        <f t="shared" si="56"/>
        <v>0</v>
      </c>
      <c r="I184" s="22">
        <f>SUM($G$29:G184)-SUM($K$28:K183)</f>
        <v>0</v>
      </c>
      <c r="J184" s="22"/>
      <c r="K184" s="22">
        <f t="shared" si="52"/>
        <v>0</v>
      </c>
      <c r="L184" s="22">
        <f t="shared" si="53"/>
        <v>0</v>
      </c>
      <c r="M184" s="22">
        <f t="shared" si="54"/>
        <v>0</v>
      </c>
    </row>
    <row r="185" spans="1:13" x14ac:dyDescent="0.25">
      <c r="A185">
        <f t="shared" si="50"/>
        <v>157</v>
      </c>
      <c r="B185" t="s">
        <v>40</v>
      </c>
      <c r="C185">
        <f t="shared" si="47"/>
        <v>11</v>
      </c>
      <c r="D185">
        <f t="shared" si="48"/>
        <v>0</v>
      </c>
      <c r="E185" s="17">
        <f t="shared" si="49"/>
        <v>1.7280399333685637E-11</v>
      </c>
      <c r="F185" s="20">
        <f t="shared" si="55"/>
        <v>0</v>
      </c>
      <c r="G185" s="22">
        <f t="shared" si="51"/>
        <v>0</v>
      </c>
      <c r="H185" s="22">
        <f t="shared" si="56"/>
        <v>0</v>
      </c>
      <c r="I185" s="22">
        <f>SUM($G$29:G185)-SUM($K$28:K184)</f>
        <v>0</v>
      </c>
      <c r="J185" s="22"/>
      <c r="K185" s="22">
        <f t="shared" si="52"/>
        <v>0</v>
      </c>
      <c r="L185" s="22">
        <f t="shared" si="53"/>
        <v>0</v>
      </c>
      <c r="M185" s="22">
        <f t="shared" si="54"/>
        <v>0</v>
      </c>
    </row>
    <row r="186" spans="1:13" x14ac:dyDescent="0.25">
      <c r="A186">
        <f t="shared" si="50"/>
        <v>158</v>
      </c>
      <c r="B186" t="s">
        <v>40</v>
      </c>
      <c r="C186">
        <f t="shared" si="47"/>
        <v>11</v>
      </c>
      <c r="D186">
        <f t="shared" si="48"/>
        <v>0</v>
      </c>
      <c r="E186" s="17">
        <f t="shared" si="49"/>
        <v>1.7280399333685637E-11</v>
      </c>
      <c r="F186" s="20">
        <f t="shared" si="55"/>
        <v>0</v>
      </c>
      <c r="G186" s="22">
        <f t="shared" si="51"/>
        <v>0</v>
      </c>
      <c r="H186" s="22">
        <f t="shared" si="56"/>
        <v>0</v>
      </c>
      <c r="I186" s="22">
        <f>SUM($G$29:G186)-SUM($K$28:K185)</f>
        <v>0</v>
      </c>
      <c r="J186" s="22"/>
      <c r="K186" s="22">
        <f t="shared" si="52"/>
        <v>0</v>
      </c>
      <c r="L186" s="22">
        <f t="shared" si="53"/>
        <v>0</v>
      </c>
      <c r="M186" s="22">
        <f t="shared" si="54"/>
        <v>0</v>
      </c>
    </row>
    <row r="187" spans="1:13" x14ac:dyDescent="0.25">
      <c r="A187">
        <f t="shared" si="50"/>
        <v>159</v>
      </c>
      <c r="B187" t="s">
        <v>40</v>
      </c>
      <c r="C187">
        <f t="shared" si="47"/>
        <v>11</v>
      </c>
      <c r="D187">
        <f t="shared" si="48"/>
        <v>0</v>
      </c>
      <c r="E187" s="17">
        <f t="shared" si="49"/>
        <v>1.7280399333685637E-11</v>
      </c>
      <c r="F187" s="20">
        <f t="shared" si="55"/>
        <v>0</v>
      </c>
      <c r="G187" s="22">
        <f t="shared" si="51"/>
        <v>0</v>
      </c>
      <c r="H187" s="22">
        <f t="shared" si="56"/>
        <v>0</v>
      </c>
      <c r="I187" s="22">
        <f>SUM($G$29:G187)-SUM($K$28:K186)</f>
        <v>0</v>
      </c>
      <c r="J187" s="22"/>
      <c r="K187" s="22">
        <f t="shared" si="52"/>
        <v>0</v>
      </c>
      <c r="L187" s="22">
        <f t="shared" si="53"/>
        <v>0</v>
      </c>
      <c r="M187" s="22">
        <f t="shared" si="54"/>
        <v>0</v>
      </c>
    </row>
    <row r="188" spans="1:13" x14ac:dyDescent="0.25">
      <c r="A188">
        <f t="shared" si="50"/>
        <v>160</v>
      </c>
      <c r="B188" t="s">
        <v>40</v>
      </c>
      <c r="C188">
        <f t="shared" si="47"/>
        <v>11</v>
      </c>
      <c r="D188">
        <f t="shared" si="48"/>
        <v>0</v>
      </c>
      <c r="E188" s="17">
        <f t="shared" si="49"/>
        <v>1.7280399333685637E-11</v>
      </c>
      <c r="F188" s="20">
        <f t="shared" si="55"/>
        <v>0</v>
      </c>
      <c r="G188" s="22">
        <f t="shared" si="51"/>
        <v>0</v>
      </c>
      <c r="H188" s="22">
        <f t="shared" si="56"/>
        <v>0</v>
      </c>
      <c r="I188" s="22">
        <f>SUM($G$29:G188)-SUM($K$28:K187)</f>
        <v>0</v>
      </c>
      <c r="J188" s="22"/>
      <c r="K188" s="22">
        <f t="shared" si="52"/>
        <v>0</v>
      </c>
      <c r="L188" s="22">
        <f t="shared" si="53"/>
        <v>0</v>
      </c>
      <c r="M188" s="22">
        <f t="shared" si="54"/>
        <v>0</v>
      </c>
    </row>
    <row r="189" spans="1:13" x14ac:dyDescent="0.25">
      <c r="A189">
        <f t="shared" si="50"/>
        <v>161</v>
      </c>
      <c r="B189" t="s">
        <v>40</v>
      </c>
      <c r="C189">
        <f t="shared" si="47"/>
        <v>11</v>
      </c>
      <c r="D189">
        <f t="shared" si="48"/>
        <v>0</v>
      </c>
      <c r="E189" s="17">
        <f t="shared" si="49"/>
        <v>1.7280399333685637E-11</v>
      </c>
      <c r="F189" s="20">
        <f t="shared" si="55"/>
        <v>0</v>
      </c>
      <c r="G189" s="22">
        <f t="shared" si="51"/>
        <v>0</v>
      </c>
      <c r="H189" s="22">
        <f t="shared" si="56"/>
        <v>0</v>
      </c>
      <c r="I189" s="22">
        <f>SUM($G$29:G189)-SUM($K$28:K188)</f>
        <v>0</v>
      </c>
      <c r="J189" s="22"/>
      <c r="K189" s="22">
        <f t="shared" si="52"/>
        <v>0</v>
      </c>
      <c r="L189" s="22">
        <f t="shared" si="53"/>
        <v>0</v>
      </c>
      <c r="M189" s="22">
        <f t="shared" si="54"/>
        <v>0</v>
      </c>
    </row>
    <row r="190" spans="1:13" x14ac:dyDescent="0.25">
      <c r="A190">
        <f t="shared" si="50"/>
        <v>162</v>
      </c>
      <c r="B190" t="s">
        <v>40</v>
      </c>
      <c r="C190">
        <f t="shared" si="47"/>
        <v>11</v>
      </c>
      <c r="D190">
        <f t="shared" si="48"/>
        <v>0</v>
      </c>
      <c r="E190" s="17">
        <f t="shared" si="49"/>
        <v>1.7280399333685637E-11</v>
      </c>
      <c r="F190" s="20">
        <f t="shared" si="55"/>
        <v>0</v>
      </c>
      <c r="G190" s="22">
        <f t="shared" si="51"/>
        <v>0</v>
      </c>
      <c r="H190" s="22">
        <f t="shared" si="56"/>
        <v>0</v>
      </c>
      <c r="I190" s="22">
        <f>SUM($G$29:G190)-SUM($K$28:K189)</f>
        <v>0</v>
      </c>
      <c r="J190" s="22"/>
      <c r="K190" s="22">
        <f t="shared" si="52"/>
        <v>0</v>
      </c>
      <c r="L190" s="22">
        <f t="shared" si="53"/>
        <v>0</v>
      </c>
      <c r="M190" s="22">
        <f t="shared" si="54"/>
        <v>0</v>
      </c>
    </row>
    <row r="191" spans="1:13" x14ac:dyDescent="0.25">
      <c r="A191">
        <f t="shared" si="50"/>
        <v>163</v>
      </c>
      <c r="B191" t="s">
        <v>40</v>
      </c>
      <c r="C191">
        <f t="shared" si="47"/>
        <v>11</v>
      </c>
      <c r="D191">
        <f t="shared" si="48"/>
        <v>0</v>
      </c>
      <c r="E191" s="17">
        <f t="shared" si="49"/>
        <v>1.7280399333685637E-11</v>
      </c>
      <c r="F191" s="20">
        <f t="shared" si="55"/>
        <v>0</v>
      </c>
      <c r="G191" s="22">
        <f t="shared" si="51"/>
        <v>0</v>
      </c>
      <c r="H191" s="22">
        <f t="shared" si="56"/>
        <v>0</v>
      </c>
      <c r="I191" s="22">
        <f>SUM($G$29:G191)-SUM($K$28:K190)</f>
        <v>0</v>
      </c>
      <c r="J191" s="22"/>
      <c r="K191" s="22">
        <f t="shared" si="52"/>
        <v>0</v>
      </c>
      <c r="L191" s="22">
        <f t="shared" si="53"/>
        <v>0</v>
      </c>
      <c r="M191" s="22">
        <f t="shared" si="54"/>
        <v>0</v>
      </c>
    </row>
    <row r="192" spans="1:13" x14ac:dyDescent="0.25">
      <c r="A192">
        <f t="shared" si="50"/>
        <v>164</v>
      </c>
      <c r="B192" t="s">
        <v>40</v>
      </c>
      <c r="C192">
        <f t="shared" si="47"/>
        <v>11</v>
      </c>
      <c r="D192">
        <f t="shared" si="48"/>
        <v>1</v>
      </c>
      <c r="E192" s="17">
        <f t="shared" si="49"/>
        <v>1.7280399333685637E-11</v>
      </c>
      <c r="F192" s="20">
        <f t="shared" si="55"/>
        <v>0</v>
      </c>
      <c r="G192" s="22">
        <f t="shared" si="51"/>
        <v>0</v>
      </c>
      <c r="H192" s="22">
        <f t="shared" si="56"/>
        <v>0</v>
      </c>
      <c r="I192" s="22">
        <f>SUM($G$29:G192)-SUM($K$28:K191)</f>
        <v>0</v>
      </c>
      <c r="J192" s="22"/>
      <c r="K192" s="22">
        <f t="shared" si="52"/>
        <v>0</v>
      </c>
      <c r="L192" s="22">
        <f t="shared" si="53"/>
        <v>0</v>
      </c>
      <c r="M192" s="22">
        <f t="shared" si="54"/>
        <v>0</v>
      </c>
    </row>
  </sheetData>
  <mergeCells count="3">
    <mergeCell ref="B24:C24"/>
    <mergeCell ref="M24:N24"/>
    <mergeCell ref="X26:Y26"/>
  </mergeCells>
  <phoneticPr fontId="3" type="noConversion"/>
  <conditionalFormatting sqref="D28:D19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23BE3939-CCF9-45D5-99DF-ACFA7C3264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Стартовые!J17:J23</xm:f>
              <xm:sqref>J6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FC98-5C3F-4C8B-A75E-FC2966DC85A8}">
  <sheetPr>
    <pageSetUpPr fitToPage="1"/>
  </sheetPr>
  <dimension ref="A2:N70"/>
  <sheetViews>
    <sheetView topLeftCell="A46" workbookViewId="0">
      <selection activeCell="E23" sqref="E23"/>
    </sheetView>
  </sheetViews>
  <sheetFormatPr defaultRowHeight="15" outlineLevelRow="1" x14ac:dyDescent="0.25"/>
  <cols>
    <col min="1" max="1" width="26.85546875" bestFit="1" customWidth="1"/>
    <col min="2" max="8" width="11.140625" customWidth="1"/>
    <col min="9" max="9" width="52.42578125" customWidth="1"/>
    <col min="10" max="15" width="12.85546875" customWidth="1"/>
  </cols>
  <sheetData>
    <row r="2" spans="1:14" x14ac:dyDescent="0.25">
      <c r="A2" s="8" t="s">
        <v>0</v>
      </c>
      <c r="G2" s="8" t="s">
        <v>12</v>
      </c>
    </row>
    <row r="3" spans="1:14" x14ac:dyDescent="0.25">
      <c r="A3" t="s">
        <v>1</v>
      </c>
      <c r="C3" s="2">
        <v>20000</v>
      </c>
      <c r="G3" t="s">
        <v>10</v>
      </c>
      <c r="H3" s="19">
        <v>0</v>
      </c>
    </row>
    <row r="4" spans="1:14" x14ac:dyDescent="0.25">
      <c r="A4" t="s">
        <v>2</v>
      </c>
      <c r="C4" s="3">
        <v>0.01</v>
      </c>
      <c r="D4" s="3"/>
      <c r="G4" t="s">
        <v>11</v>
      </c>
      <c r="H4" s="35">
        <v>0.1</v>
      </c>
    </row>
    <row r="5" spans="1:14" x14ac:dyDescent="0.25">
      <c r="A5" t="s">
        <v>3</v>
      </c>
      <c r="C5">
        <v>6</v>
      </c>
      <c r="G5" t="s">
        <v>13</v>
      </c>
      <c r="H5" s="7">
        <v>0</v>
      </c>
    </row>
    <row r="6" spans="1:14" x14ac:dyDescent="0.25">
      <c r="A6" t="s">
        <v>4</v>
      </c>
      <c r="C6">
        <v>14</v>
      </c>
      <c r="D6">
        <f>C6*C5</f>
        <v>84</v>
      </c>
      <c r="J6" s="135"/>
      <c r="K6" s="135"/>
      <c r="L6" s="135"/>
      <c r="M6" s="135"/>
      <c r="N6" s="135"/>
    </row>
    <row r="7" spans="1:14" x14ac:dyDescent="0.25">
      <c r="J7" s="135"/>
      <c r="K7" s="135"/>
      <c r="L7" s="135"/>
      <c r="M7" s="135"/>
      <c r="N7" s="135"/>
    </row>
    <row r="8" spans="1:14" outlineLevel="1" x14ac:dyDescent="0.25">
      <c r="J8" s="135"/>
      <c r="K8" s="135"/>
      <c r="L8" s="135"/>
      <c r="M8" s="135"/>
      <c r="N8" s="135"/>
    </row>
    <row r="9" spans="1:14" outlineLevel="1" x14ac:dyDescent="0.25">
      <c r="A9" t="s">
        <v>5</v>
      </c>
      <c r="J9" s="135"/>
      <c r="K9" s="135"/>
      <c r="L9" s="135"/>
      <c r="M9" s="135"/>
      <c r="N9" s="135"/>
    </row>
    <row r="10" spans="1:14" outlineLevel="1" x14ac:dyDescent="0.25">
      <c r="A10" t="s">
        <v>6</v>
      </c>
      <c r="B10" s="4">
        <f>C6*C4</f>
        <v>0.14000000000000001</v>
      </c>
      <c r="C10">
        <f>B10*(1-C13)</f>
        <v>0.10500000000000001</v>
      </c>
      <c r="J10" s="135"/>
      <c r="K10" s="135"/>
      <c r="L10" s="135"/>
      <c r="M10" s="135"/>
      <c r="N10" s="135"/>
    </row>
    <row r="11" spans="1:14" outlineLevel="1" x14ac:dyDescent="0.25">
      <c r="A11" t="s">
        <v>7</v>
      </c>
      <c r="B11" s="4">
        <f>B10*(1+B10)^$C$5/((1+B10)^$C$5-1)</f>
        <v>0.25715749565782348</v>
      </c>
      <c r="C11" s="4">
        <f>C10*(1+C10)^$C$5/((1+C10)^$C$5-1)</f>
        <v>0.23298187462838585</v>
      </c>
      <c r="D11" s="4"/>
      <c r="E11" s="3">
        <v>8.0000000000000002E-3</v>
      </c>
      <c r="J11" s="135"/>
      <c r="K11" s="135"/>
      <c r="L11" s="135"/>
      <c r="M11" s="135"/>
      <c r="N11" s="135"/>
    </row>
    <row r="12" spans="1:14" outlineLevel="1" x14ac:dyDescent="0.25">
      <c r="A12" t="s">
        <v>8</v>
      </c>
      <c r="B12" s="50">
        <f>ROUND($B$11*C3,2)</f>
        <v>5143.1499999999996</v>
      </c>
      <c r="C12" s="5">
        <f>C3*C11</f>
        <v>4659.6374925677173</v>
      </c>
      <c r="D12" s="5"/>
      <c r="J12" s="135"/>
      <c r="K12" s="135"/>
      <c r="L12" s="135"/>
      <c r="M12" s="135"/>
      <c r="N12" s="135"/>
    </row>
    <row r="13" spans="1:14" outlineLevel="1" x14ac:dyDescent="0.25">
      <c r="A13" t="s">
        <v>9</v>
      </c>
      <c r="C13" s="6">
        <v>0.25</v>
      </c>
    </row>
    <row r="14" spans="1:14" ht="16.5" thickBot="1" x14ac:dyDescent="0.3">
      <c r="C14" s="1" t="s">
        <v>50</v>
      </c>
    </row>
    <row r="15" spans="1:14" ht="30" x14ac:dyDescent="0.25">
      <c r="A15" t="s">
        <v>44</v>
      </c>
      <c r="B15" s="9" t="s">
        <v>15</v>
      </c>
      <c r="C15" s="10" t="s">
        <v>16</v>
      </c>
      <c r="D15" s="10" t="s">
        <v>17</v>
      </c>
      <c r="E15" s="10" t="s">
        <v>18</v>
      </c>
      <c r="F15" s="11" t="s">
        <v>19</v>
      </c>
      <c r="G15" s="24" t="s">
        <v>41</v>
      </c>
      <c r="H15" s="25" t="s">
        <v>42</v>
      </c>
      <c r="L15" s="18" t="s">
        <v>21</v>
      </c>
      <c r="M15" s="18" t="s">
        <v>22</v>
      </c>
      <c r="N15" s="18" t="s">
        <v>24</v>
      </c>
    </row>
    <row r="16" spans="1:14" x14ac:dyDescent="0.25">
      <c r="A16">
        <v>0</v>
      </c>
      <c r="B16" s="39">
        <v>0</v>
      </c>
      <c r="D16" s="40"/>
      <c r="E16" s="40"/>
      <c r="F16" s="41"/>
      <c r="G16" s="42"/>
      <c r="H16" s="43"/>
      <c r="L16" s="20">
        <f>IF(H3=0,C4,C4*(1-H3))</f>
        <v>0.01</v>
      </c>
      <c r="M16" s="36">
        <f>$C$4</f>
        <v>0.01</v>
      </c>
      <c r="N16" s="3">
        <f t="shared" ref="N16:N22" si="0">MIN(L16,M16)</f>
        <v>0.01</v>
      </c>
    </row>
    <row r="17" spans="1:14" x14ac:dyDescent="0.25">
      <c r="A17">
        <f t="shared" ref="A17:A22" si="1">A16+$C$6</f>
        <v>14</v>
      </c>
      <c r="B17" s="39">
        <v>1</v>
      </c>
      <c r="C17" s="40">
        <f>C3</f>
        <v>20000</v>
      </c>
      <c r="D17" s="40">
        <f>$B$12</f>
        <v>5143.1499999999996</v>
      </c>
      <c r="E17" s="40">
        <f t="shared" ref="E17:E22" si="2">ROUND(C17*$C$4,2)*$C$6</f>
        <v>2800</v>
      </c>
      <c r="F17" s="41">
        <f t="shared" ref="F17:F22" si="3">D17-E17</f>
        <v>2343.1499999999996</v>
      </c>
      <c r="G17" s="44">
        <f t="shared" ref="G17:G22" si="4">ROUND(C17*$M$17,2)*$C$6</f>
        <v>2520</v>
      </c>
      <c r="H17" s="45">
        <f>F17+G17</f>
        <v>4863.1499999999996</v>
      </c>
      <c r="L17" s="20">
        <f t="shared" ref="L17:L22" si="5">$C$4</f>
        <v>0.01</v>
      </c>
      <c r="M17" s="36">
        <f t="shared" ref="M17:M22" si="6">IF($H$5&gt;$H$4,$M16*(1-$H$5),$M16*(1-$H$4))</f>
        <v>9.0000000000000011E-3</v>
      </c>
      <c r="N17" s="3">
        <f t="shared" si="0"/>
        <v>9.0000000000000011E-3</v>
      </c>
    </row>
    <row r="18" spans="1:14" x14ac:dyDescent="0.25">
      <c r="A18">
        <f t="shared" si="1"/>
        <v>28</v>
      </c>
      <c r="B18" s="39">
        <v>2</v>
      </c>
      <c r="C18" s="40">
        <f>C17-F17</f>
        <v>17656.849999999999</v>
      </c>
      <c r="D18" s="40">
        <f>$B$12</f>
        <v>5143.1499999999996</v>
      </c>
      <c r="E18" s="40">
        <f t="shared" si="2"/>
        <v>2471.98</v>
      </c>
      <c r="F18" s="41">
        <f t="shared" si="3"/>
        <v>2671.1699999999996</v>
      </c>
      <c r="G18" s="44">
        <f t="shared" si="4"/>
        <v>2224.7399999999998</v>
      </c>
      <c r="H18" s="45">
        <f t="shared" ref="H18:H23" si="7">F18+G18</f>
        <v>4895.91</v>
      </c>
      <c r="L18" s="20">
        <f t="shared" si="5"/>
        <v>0.01</v>
      </c>
      <c r="M18" s="36">
        <f t="shared" si="6"/>
        <v>8.1000000000000013E-3</v>
      </c>
      <c r="N18" s="3">
        <f t="shared" si="0"/>
        <v>8.1000000000000013E-3</v>
      </c>
    </row>
    <row r="19" spans="1:14" x14ac:dyDescent="0.25">
      <c r="A19">
        <f t="shared" si="1"/>
        <v>42</v>
      </c>
      <c r="B19" s="39">
        <v>3</v>
      </c>
      <c r="C19" s="40">
        <f>C18-F18</f>
        <v>14985.679999999998</v>
      </c>
      <c r="D19" s="40">
        <f>$B$12</f>
        <v>5143.1499999999996</v>
      </c>
      <c r="E19" s="40">
        <f t="shared" si="2"/>
        <v>2098.04</v>
      </c>
      <c r="F19" s="41">
        <f t="shared" si="3"/>
        <v>3045.1099999999997</v>
      </c>
      <c r="G19" s="44">
        <f t="shared" si="4"/>
        <v>1888.18</v>
      </c>
      <c r="H19" s="45">
        <f t="shared" si="7"/>
        <v>4933.29</v>
      </c>
      <c r="L19" s="20">
        <f t="shared" si="5"/>
        <v>0.01</v>
      </c>
      <c r="M19" s="36">
        <f t="shared" si="6"/>
        <v>7.2900000000000013E-3</v>
      </c>
      <c r="N19" s="3">
        <f t="shared" si="0"/>
        <v>7.2900000000000013E-3</v>
      </c>
    </row>
    <row r="20" spans="1:14" x14ac:dyDescent="0.25">
      <c r="A20">
        <f t="shared" si="1"/>
        <v>56</v>
      </c>
      <c r="B20" s="39">
        <v>4</v>
      </c>
      <c r="C20" s="40">
        <f>C19-F19</f>
        <v>11940.57</v>
      </c>
      <c r="D20" s="40">
        <f>$B$12</f>
        <v>5143.1499999999996</v>
      </c>
      <c r="E20" s="40">
        <f t="shared" si="2"/>
        <v>1671.74</v>
      </c>
      <c r="F20" s="41">
        <f t="shared" si="3"/>
        <v>3471.41</v>
      </c>
      <c r="G20" s="44">
        <f t="shared" si="4"/>
        <v>1504.58</v>
      </c>
      <c r="H20" s="45">
        <f t="shared" si="7"/>
        <v>4975.99</v>
      </c>
      <c r="L20" s="20">
        <f t="shared" si="5"/>
        <v>0.01</v>
      </c>
      <c r="M20" s="36">
        <f t="shared" si="6"/>
        <v>6.5610000000000017E-3</v>
      </c>
      <c r="N20" s="3">
        <f t="shared" si="0"/>
        <v>6.5610000000000017E-3</v>
      </c>
    </row>
    <row r="21" spans="1:14" x14ac:dyDescent="0.25">
      <c r="A21">
        <f t="shared" si="1"/>
        <v>70</v>
      </c>
      <c r="B21" s="39">
        <v>5</v>
      </c>
      <c r="C21" s="40">
        <f>C20-F20</f>
        <v>8469.16</v>
      </c>
      <c r="D21" s="40">
        <f>$B$12</f>
        <v>5143.1499999999996</v>
      </c>
      <c r="E21" s="40">
        <f t="shared" si="2"/>
        <v>1185.6599999999999</v>
      </c>
      <c r="F21" s="41">
        <f t="shared" si="3"/>
        <v>3957.49</v>
      </c>
      <c r="G21" s="44">
        <f t="shared" si="4"/>
        <v>1067.08</v>
      </c>
      <c r="H21" s="45">
        <f t="shared" si="7"/>
        <v>5024.57</v>
      </c>
      <c r="L21" s="20">
        <f t="shared" si="5"/>
        <v>0.01</v>
      </c>
      <c r="M21" s="36">
        <f t="shared" si="6"/>
        <v>5.904900000000002E-3</v>
      </c>
      <c r="N21" s="3">
        <f t="shared" si="0"/>
        <v>5.904900000000002E-3</v>
      </c>
    </row>
    <row r="22" spans="1:14" x14ac:dyDescent="0.25">
      <c r="A22">
        <f t="shared" si="1"/>
        <v>84</v>
      </c>
      <c r="B22" s="39">
        <v>6</v>
      </c>
      <c r="C22" s="40">
        <f>C21-F21</f>
        <v>4511.67</v>
      </c>
      <c r="D22" s="40">
        <f>$C$3-SUM(F17:F21)+E22</f>
        <v>5143.3500000000004</v>
      </c>
      <c r="E22" s="40">
        <f t="shared" si="2"/>
        <v>631.67999999999995</v>
      </c>
      <c r="F22" s="41">
        <f t="shared" si="3"/>
        <v>4511.67</v>
      </c>
      <c r="G22" s="44">
        <f t="shared" si="4"/>
        <v>568.54</v>
      </c>
      <c r="H22" s="45">
        <f t="shared" si="7"/>
        <v>5080.21</v>
      </c>
      <c r="L22" s="20">
        <f t="shared" si="5"/>
        <v>0.01</v>
      </c>
      <c r="M22" s="36">
        <f t="shared" si="6"/>
        <v>5.314410000000002E-3</v>
      </c>
      <c r="N22" s="3">
        <f t="shared" si="0"/>
        <v>5.314410000000002E-3</v>
      </c>
    </row>
    <row r="23" spans="1:14" ht="15.75" thickBot="1" x14ac:dyDescent="0.3">
      <c r="B23" s="136" t="s">
        <v>20</v>
      </c>
      <c r="C23" s="137"/>
      <c r="D23" s="46">
        <f>SUM(D16:D22)</f>
        <v>30859.1</v>
      </c>
      <c r="E23" s="46">
        <f>SUM(E16:E22)</f>
        <v>10859.1</v>
      </c>
      <c r="F23" s="47">
        <f>SUM(F16:F22)</f>
        <v>20000</v>
      </c>
      <c r="G23" s="48">
        <f>SUM(G17:G22)</f>
        <v>9773.119999999999</v>
      </c>
      <c r="H23" s="49">
        <f t="shared" si="7"/>
        <v>29773.119999999999</v>
      </c>
    </row>
    <row r="24" spans="1:14" x14ac:dyDescent="0.25">
      <c r="D24" s="28">
        <f>D23/F23</f>
        <v>1.5429549999999999</v>
      </c>
      <c r="H24" s="29">
        <f>H23/F23</f>
        <v>1.488656</v>
      </c>
    </row>
    <row r="26" spans="1:14" ht="15.75" thickBot="1" x14ac:dyDescent="0.3"/>
    <row r="27" spans="1:14" ht="75" x14ac:dyDescent="0.25">
      <c r="A27" s="139" t="s">
        <v>43</v>
      </c>
      <c r="B27" s="140"/>
      <c r="C27" s="9" t="s">
        <v>45</v>
      </c>
      <c r="D27" s="10" t="s">
        <v>65</v>
      </c>
      <c r="E27" s="10" t="s">
        <v>46</v>
      </c>
      <c r="F27" s="10" t="s">
        <v>47</v>
      </c>
      <c r="G27" s="10" t="s">
        <v>48</v>
      </c>
      <c r="H27" s="10" t="s">
        <v>69</v>
      </c>
      <c r="I27" s="11" t="s">
        <v>49</v>
      </c>
    </row>
    <row r="28" spans="1:14" ht="15.75" thickBot="1" x14ac:dyDescent="0.3">
      <c r="C28" s="56">
        <f>C17</f>
        <v>20000</v>
      </c>
      <c r="D28" s="57">
        <f>E17+F17</f>
        <v>5143.1499999999996</v>
      </c>
      <c r="E28" s="57">
        <f>ROUND(C28*$C$4,2)*10</f>
        <v>2000</v>
      </c>
      <c r="F28" s="57">
        <f>F17</f>
        <v>2343.1499999999996</v>
      </c>
      <c r="G28" s="44">
        <f>ROUND(C28*$M$17,2)*10</f>
        <v>1800</v>
      </c>
      <c r="H28" s="57">
        <f>F28+G28</f>
        <v>4143.1499999999996</v>
      </c>
      <c r="I28" s="30">
        <f>C28+E28</f>
        <v>22000</v>
      </c>
    </row>
    <row r="30" spans="1:14" x14ac:dyDescent="0.25">
      <c r="B30" t="s">
        <v>51</v>
      </c>
    </row>
    <row r="31" spans="1:14" ht="15.75" thickBot="1" x14ac:dyDescent="0.3">
      <c r="A31" t="s">
        <v>52</v>
      </c>
      <c r="B31" s="32">
        <v>1500</v>
      </c>
      <c r="C31" t="s">
        <v>53</v>
      </c>
    </row>
    <row r="32" spans="1:14" ht="30" x14ac:dyDescent="0.25">
      <c r="A32" t="s">
        <v>44</v>
      </c>
      <c r="B32" s="9" t="s">
        <v>15</v>
      </c>
      <c r="C32" s="10" t="s">
        <v>16</v>
      </c>
      <c r="D32" s="10" t="s">
        <v>17</v>
      </c>
      <c r="E32" s="10" t="s">
        <v>18</v>
      </c>
      <c r="F32" s="11" t="s">
        <v>19</v>
      </c>
      <c r="G32" s="24" t="s">
        <v>41</v>
      </c>
      <c r="H32" s="25" t="s">
        <v>42</v>
      </c>
    </row>
    <row r="33" spans="1:10" x14ac:dyDescent="0.25">
      <c r="A33">
        <v>0</v>
      </c>
      <c r="B33" s="39">
        <v>0</v>
      </c>
      <c r="C33" s="40">
        <f>C17</f>
        <v>20000</v>
      </c>
      <c r="D33" s="40"/>
      <c r="E33" s="40"/>
      <c r="F33" s="41"/>
      <c r="G33" s="42"/>
      <c r="H33" s="43"/>
    </row>
    <row r="34" spans="1:10" x14ac:dyDescent="0.25">
      <c r="A34" s="37">
        <v>10</v>
      </c>
      <c r="B34" s="39"/>
      <c r="C34" s="40"/>
      <c r="D34" s="40"/>
      <c r="E34" s="51">
        <f>B31</f>
        <v>1500</v>
      </c>
      <c r="F34" s="41">
        <v>0</v>
      </c>
      <c r="G34" s="42"/>
      <c r="H34" s="43"/>
      <c r="I34" s="138" t="s">
        <v>54</v>
      </c>
    </row>
    <row r="35" spans="1:10" x14ac:dyDescent="0.25">
      <c r="A35" s="31">
        <f>A33+$C$6</f>
        <v>14</v>
      </c>
      <c r="B35" s="39">
        <v>1</v>
      </c>
      <c r="C35" s="40">
        <f>C33</f>
        <v>20000</v>
      </c>
      <c r="D35" s="40">
        <f>E35+F35</f>
        <v>3643.1499999999996</v>
      </c>
      <c r="E35" s="40">
        <f>C33*$C$4*$C$6-E34</f>
        <v>1300</v>
      </c>
      <c r="F35" s="41">
        <f t="shared" ref="F35:F40" si="8">F17</f>
        <v>2343.1499999999996</v>
      </c>
      <c r="G35" s="44">
        <f>ROUND(C35*$M$17,2)*(A35-A34)</f>
        <v>720</v>
      </c>
      <c r="H35" s="45">
        <f>F35+G35+E28-E34</f>
        <v>3563.1499999999996</v>
      </c>
      <c r="I35" s="138"/>
      <c r="J35" s="31" t="s">
        <v>58</v>
      </c>
    </row>
    <row r="36" spans="1:10" x14ac:dyDescent="0.25">
      <c r="A36">
        <f>A35+$C$6</f>
        <v>28</v>
      </c>
      <c r="B36" s="39">
        <v>2</v>
      </c>
      <c r="C36" s="40">
        <f>C35-F35</f>
        <v>17656.849999999999</v>
      </c>
      <c r="D36" s="40">
        <f>$B$12</f>
        <v>5143.1499999999996</v>
      </c>
      <c r="E36" s="40">
        <f>ROUND(C18*$C$4,2)*$C$6</f>
        <v>2471.98</v>
      </c>
      <c r="F36" s="41">
        <f t="shared" si="8"/>
        <v>2671.1699999999996</v>
      </c>
      <c r="G36" s="44">
        <f>G18</f>
        <v>2224.7399999999998</v>
      </c>
      <c r="H36" s="45">
        <f>F36+G36</f>
        <v>4895.91</v>
      </c>
      <c r="J36" s="141" t="s">
        <v>60</v>
      </c>
    </row>
    <row r="37" spans="1:10" x14ac:dyDescent="0.25">
      <c r="A37">
        <f>A36+$C$6</f>
        <v>42</v>
      </c>
      <c r="B37" s="39">
        <v>3</v>
      </c>
      <c r="C37" s="40">
        <f>C36-F36</f>
        <v>14985.679999999998</v>
      </c>
      <c r="D37" s="40">
        <f>$B$12</f>
        <v>5143.1499999999996</v>
      </c>
      <c r="E37" s="40">
        <f>ROUND(C19*$C$4,2)*$C$6</f>
        <v>2098.04</v>
      </c>
      <c r="F37" s="41">
        <f t="shared" si="8"/>
        <v>3045.1099999999997</v>
      </c>
      <c r="G37" s="44">
        <f>G19</f>
        <v>1888.18</v>
      </c>
      <c r="H37" s="45">
        <f>F37+G37</f>
        <v>4933.29</v>
      </c>
      <c r="J37" s="141"/>
    </row>
    <row r="38" spans="1:10" x14ac:dyDescent="0.25">
      <c r="A38">
        <f>A37+$C$6</f>
        <v>56</v>
      </c>
      <c r="B38" s="39">
        <v>4</v>
      </c>
      <c r="C38" s="40">
        <f>C37-F37</f>
        <v>11940.57</v>
      </c>
      <c r="D38" s="40">
        <f>$B$12</f>
        <v>5143.1499999999996</v>
      </c>
      <c r="E38" s="40">
        <f>ROUND(C20*$C$4,2)*$C$6</f>
        <v>1671.74</v>
      </c>
      <c r="F38" s="41">
        <f t="shared" si="8"/>
        <v>3471.41</v>
      </c>
      <c r="G38" s="44">
        <f>G20</f>
        <v>1504.58</v>
      </c>
      <c r="H38" s="45">
        <f>F38+G38</f>
        <v>4975.99</v>
      </c>
      <c r="J38" s="141"/>
    </row>
    <row r="39" spans="1:10" x14ac:dyDescent="0.25">
      <c r="A39">
        <f>A38+$C$6</f>
        <v>70</v>
      </c>
      <c r="B39" s="39">
        <v>5</v>
      </c>
      <c r="C39" s="40">
        <f>C38-F38</f>
        <v>8469.16</v>
      </c>
      <c r="D39" s="40">
        <f>$B$12</f>
        <v>5143.1499999999996</v>
      </c>
      <c r="E39" s="40">
        <f>ROUND(C21*$C$4,2)*$C$6</f>
        <v>1185.6599999999999</v>
      </c>
      <c r="F39" s="41">
        <f t="shared" si="8"/>
        <v>3957.49</v>
      </c>
      <c r="G39" s="44">
        <f>G21</f>
        <v>1067.08</v>
      </c>
      <c r="H39" s="45">
        <f>F39+G39</f>
        <v>5024.57</v>
      </c>
      <c r="J39" s="141"/>
    </row>
    <row r="40" spans="1:10" x14ac:dyDescent="0.25">
      <c r="A40">
        <f>A39+$C$6</f>
        <v>84</v>
      </c>
      <c r="B40" s="39">
        <v>6</v>
      </c>
      <c r="C40" s="40">
        <f>C39-F39</f>
        <v>4511.67</v>
      </c>
      <c r="D40" s="40">
        <f>$C$3-SUM(F35:F39)+E40</f>
        <v>5143.3500000000004</v>
      </c>
      <c r="E40" s="40">
        <f>ROUND(C22*$C$4,2)*$C$6</f>
        <v>631.67999999999995</v>
      </c>
      <c r="F40" s="41">
        <f t="shared" si="8"/>
        <v>4511.67</v>
      </c>
      <c r="G40" s="44">
        <f>G22</f>
        <v>568.54</v>
      </c>
      <c r="H40" s="45">
        <f>F40+G40</f>
        <v>5080.21</v>
      </c>
      <c r="J40" s="141"/>
    </row>
    <row r="41" spans="1:10" ht="15.75" thickBot="1" x14ac:dyDescent="0.3">
      <c r="B41" s="136" t="s">
        <v>20</v>
      </c>
      <c r="C41" s="137"/>
      <c r="D41" s="46">
        <f>SUM(D33:D40)</f>
        <v>29359.1</v>
      </c>
      <c r="E41" s="46">
        <f>SUM(E33:E40)</f>
        <v>10859.1</v>
      </c>
      <c r="F41" s="47">
        <f>SUM(F33:F40)</f>
        <v>20000</v>
      </c>
      <c r="G41" s="48">
        <f>SUM(G35:G40)</f>
        <v>7973.12</v>
      </c>
      <c r="H41" s="49">
        <f>SUM(H34:H40)</f>
        <v>28473.119999999995</v>
      </c>
    </row>
    <row r="42" spans="1:10" x14ac:dyDescent="0.25">
      <c r="D42" s="28">
        <f>(E41+F41)/F41</f>
        <v>1.5429549999999999</v>
      </c>
      <c r="H42" s="29">
        <f>H41/F41</f>
        <v>1.4236559999999998</v>
      </c>
    </row>
    <row r="44" spans="1:10" x14ac:dyDescent="0.25">
      <c r="B44" t="s">
        <v>55</v>
      </c>
    </row>
    <row r="45" spans="1:10" ht="15.75" thickBot="1" x14ac:dyDescent="0.3">
      <c r="A45" t="s">
        <v>52</v>
      </c>
      <c r="B45" s="32">
        <v>3500</v>
      </c>
      <c r="C45" t="s">
        <v>57</v>
      </c>
    </row>
    <row r="46" spans="1:10" ht="30" x14ac:dyDescent="0.25">
      <c r="A46" t="s">
        <v>44</v>
      </c>
      <c r="B46" s="9" t="s">
        <v>15</v>
      </c>
      <c r="C46" s="10" t="s">
        <v>16</v>
      </c>
      <c r="D46" s="10" t="s">
        <v>17</v>
      </c>
      <c r="E46" s="10" t="s">
        <v>18</v>
      </c>
      <c r="F46" s="11" t="s">
        <v>19</v>
      </c>
      <c r="G46" s="24" t="s">
        <v>41</v>
      </c>
      <c r="H46" s="25" t="s">
        <v>42</v>
      </c>
    </row>
    <row r="47" spans="1:10" x14ac:dyDescent="0.25">
      <c r="A47">
        <v>0</v>
      </c>
      <c r="B47" s="39">
        <v>0</v>
      </c>
      <c r="C47" s="40">
        <f>C17</f>
        <v>20000</v>
      </c>
      <c r="D47" s="40"/>
      <c r="E47" s="40"/>
      <c r="F47" s="41"/>
      <c r="G47" s="42"/>
      <c r="H47" s="43"/>
    </row>
    <row r="48" spans="1:10" x14ac:dyDescent="0.25">
      <c r="A48" s="37">
        <v>10</v>
      </c>
      <c r="B48" s="39"/>
      <c r="C48" s="40"/>
      <c r="D48" s="40"/>
      <c r="E48" s="51">
        <f>E28</f>
        <v>2000</v>
      </c>
      <c r="F48" s="52">
        <f>B45-E48</f>
        <v>1500</v>
      </c>
      <c r="G48" s="42"/>
      <c r="H48" s="43">
        <f>B45</f>
        <v>3500</v>
      </c>
      <c r="I48" s="138" t="s">
        <v>56</v>
      </c>
    </row>
    <row r="49" spans="1:12" x14ac:dyDescent="0.25">
      <c r="A49" s="31">
        <f>A47+$C$6</f>
        <v>14</v>
      </c>
      <c r="B49" s="39">
        <v>1</v>
      </c>
      <c r="C49" s="40">
        <f>C47-F48</f>
        <v>18500</v>
      </c>
      <c r="D49" s="40">
        <f>E49+F49</f>
        <v>1583.1499999999996</v>
      </c>
      <c r="E49" s="53">
        <f>ROUND(C49*$C$4,2)*4</f>
        <v>740</v>
      </c>
      <c r="F49" s="54">
        <f>F17-F48</f>
        <v>843.14999999999964</v>
      </c>
      <c r="G49" s="44">
        <f>ROUND(C49*$M$17,2)*4</f>
        <v>666</v>
      </c>
      <c r="H49" s="45">
        <f t="shared" ref="H49:H54" si="9">F49+G49</f>
        <v>1509.1499999999996</v>
      </c>
      <c r="I49" s="138"/>
      <c r="J49" s="31" t="s">
        <v>58</v>
      </c>
    </row>
    <row r="50" spans="1:12" x14ac:dyDescent="0.25">
      <c r="A50">
        <f>A49+$C$6</f>
        <v>28</v>
      </c>
      <c r="B50" s="39">
        <v>2</v>
      </c>
      <c r="C50" s="40">
        <f>C49-F49</f>
        <v>17656.849999999999</v>
      </c>
      <c r="D50" s="40">
        <f>$B$12</f>
        <v>5143.1499999999996</v>
      </c>
      <c r="E50" s="40">
        <f>C50*$C$4*$C$6</f>
        <v>2471.9589999999998</v>
      </c>
      <c r="F50" s="41">
        <f>F18</f>
        <v>2671.1699999999996</v>
      </c>
      <c r="G50" s="44">
        <f>ROUND(C50*$M$17,2)*$C$6</f>
        <v>2224.7399999999998</v>
      </c>
      <c r="H50" s="45">
        <f t="shared" si="9"/>
        <v>4895.91</v>
      </c>
      <c r="J50" s="141" t="s">
        <v>60</v>
      </c>
    </row>
    <row r="51" spans="1:12" x14ac:dyDescent="0.25">
      <c r="A51">
        <f>A50+$C$6</f>
        <v>42</v>
      </c>
      <c r="B51" s="39">
        <v>3</v>
      </c>
      <c r="C51" s="40">
        <f>C50-F50</f>
        <v>14985.679999999998</v>
      </c>
      <c r="D51" s="40">
        <f>$B$12</f>
        <v>5143.1499999999996</v>
      </c>
      <c r="E51" s="40">
        <f>C51*$C$4*$C$6</f>
        <v>2097.9951999999998</v>
      </c>
      <c r="F51" s="41">
        <f>F19</f>
        <v>3045.1099999999997</v>
      </c>
      <c r="G51" s="44">
        <f>ROUND(C51*$M$17,2)*$C$6</f>
        <v>1888.18</v>
      </c>
      <c r="H51" s="45">
        <f t="shared" si="9"/>
        <v>4933.29</v>
      </c>
      <c r="J51" s="141"/>
    </row>
    <row r="52" spans="1:12" x14ac:dyDescent="0.25">
      <c r="A52">
        <f>A51+$C$6</f>
        <v>56</v>
      </c>
      <c r="B52" s="39">
        <v>4</v>
      </c>
      <c r="C52" s="40">
        <f>C51-F51</f>
        <v>11940.57</v>
      </c>
      <c r="D52" s="40">
        <f>$B$12</f>
        <v>5143.1499999999996</v>
      </c>
      <c r="E52" s="40">
        <f>C52*$C$4*$C$6</f>
        <v>1671.6797999999999</v>
      </c>
      <c r="F52" s="41">
        <f>F20</f>
        <v>3471.41</v>
      </c>
      <c r="G52" s="44">
        <f>ROUND(C52*$M$17,2)*$C$6</f>
        <v>1504.58</v>
      </c>
      <c r="H52" s="45">
        <f t="shared" si="9"/>
        <v>4975.99</v>
      </c>
      <c r="J52" s="141"/>
    </row>
    <row r="53" spans="1:12" x14ac:dyDescent="0.25">
      <c r="A53">
        <f>A52+$C$6</f>
        <v>70</v>
      </c>
      <c r="B53" s="39">
        <v>5</v>
      </c>
      <c r="C53" s="40">
        <f>C52-F52</f>
        <v>8469.16</v>
      </c>
      <c r="D53" s="40">
        <f>$B$12</f>
        <v>5143.1499999999996</v>
      </c>
      <c r="E53" s="40">
        <f>C53*$C$4*$C$6</f>
        <v>1185.6823999999999</v>
      </c>
      <c r="F53" s="41">
        <f>F21</f>
        <v>3957.49</v>
      </c>
      <c r="G53" s="44">
        <f>ROUND(C53*$M$17,2)*$C$6</f>
        <v>1067.08</v>
      </c>
      <c r="H53" s="45">
        <f t="shared" si="9"/>
        <v>5024.57</v>
      </c>
      <c r="J53" s="141"/>
    </row>
    <row r="54" spans="1:12" x14ac:dyDescent="0.25">
      <c r="A54">
        <f>A53+$C$6</f>
        <v>84</v>
      </c>
      <c r="B54" s="39">
        <v>6</v>
      </c>
      <c r="C54" s="40">
        <f>C53-F53</f>
        <v>4511.67</v>
      </c>
      <c r="D54" s="40">
        <f>$C$3-SUM(F48:F53)+E54</f>
        <v>5143.3037999999997</v>
      </c>
      <c r="E54" s="40">
        <f>C54*$C$4*$C$6</f>
        <v>631.63380000000006</v>
      </c>
      <c r="F54" s="41">
        <f>F22</f>
        <v>4511.67</v>
      </c>
      <c r="G54" s="44">
        <f>ROUND(C54*$M$17,2)*$C$6</f>
        <v>568.54</v>
      </c>
      <c r="H54" s="45">
        <f t="shared" si="9"/>
        <v>5080.21</v>
      </c>
      <c r="J54" s="141"/>
    </row>
    <row r="55" spans="1:12" ht="15.75" thickBot="1" x14ac:dyDescent="0.3">
      <c r="B55" s="136" t="s">
        <v>20</v>
      </c>
      <c r="C55" s="137"/>
      <c r="D55" s="46">
        <f>SUM(D47:D54)</f>
        <v>27299.053800000002</v>
      </c>
      <c r="E55" s="46">
        <f>SUM(E47:E54)</f>
        <v>10798.950199999999</v>
      </c>
      <c r="F55" s="47">
        <f>SUM(F47:F54)</f>
        <v>20000</v>
      </c>
      <c r="G55" s="48">
        <f>SUM(G49:G54)</f>
        <v>7919.12</v>
      </c>
      <c r="H55" s="49">
        <f>SUM(H48:H54)</f>
        <v>29919.119999999995</v>
      </c>
    </row>
    <row r="56" spans="1:12" x14ac:dyDescent="0.25">
      <c r="D56" s="28">
        <f>(E55+F55)/F55</f>
        <v>1.53994751</v>
      </c>
      <c r="H56" s="29">
        <f>H55/F55</f>
        <v>1.4959559999999998</v>
      </c>
    </row>
    <row r="58" spans="1:12" x14ac:dyDescent="0.25">
      <c r="B58" t="s">
        <v>59</v>
      </c>
    </row>
    <row r="59" spans="1:12" ht="15.75" thickBot="1" x14ac:dyDescent="0.3">
      <c r="A59" t="s">
        <v>52</v>
      </c>
      <c r="B59" s="32">
        <v>5000</v>
      </c>
      <c r="C59" t="s">
        <v>68</v>
      </c>
    </row>
    <row r="60" spans="1:12" ht="30" x14ac:dyDescent="0.25">
      <c r="A60" t="s">
        <v>44</v>
      </c>
      <c r="B60" s="9" t="s">
        <v>15</v>
      </c>
      <c r="C60" s="10" t="s">
        <v>16</v>
      </c>
      <c r="D60" s="10" t="s">
        <v>17</v>
      </c>
      <c r="E60" s="10" t="s">
        <v>18</v>
      </c>
      <c r="F60" s="11" t="s">
        <v>19</v>
      </c>
      <c r="G60" s="24" t="s">
        <v>41</v>
      </c>
      <c r="H60" s="25" t="s">
        <v>42</v>
      </c>
    </row>
    <row r="61" spans="1:12" x14ac:dyDescent="0.25">
      <c r="A61">
        <v>0</v>
      </c>
      <c r="B61" s="12">
        <v>0</v>
      </c>
      <c r="C61" s="40">
        <f>C17</f>
        <v>20000</v>
      </c>
      <c r="D61" s="40"/>
      <c r="E61" s="40"/>
      <c r="F61" s="41"/>
      <c r="G61" s="42"/>
      <c r="H61" s="43"/>
    </row>
    <row r="62" spans="1:12" x14ac:dyDescent="0.25">
      <c r="A62" s="37">
        <v>14</v>
      </c>
      <c r="B62" s="12"/>
      <c r="C62" s="40"/>
      <c r="D62" s="40"/>
      <c r="E62" s="51">
        <f>E28</f>
        <v>2000</v>
      </c>
      <c r="F62" s="52">
        <f>B59-E62</f>
        <v>3000</v>
      </c>
      <c r="G62" s="42"/>
      <c r="H62" s="43">
        <f>B59</f>
        <v>5000</v>
      </c>
      <c r="I62" s="33" t="s">
        <v>66</v>
      </c>
    </row>
    <row r="63" spans="1:12" x14ac:dyDescent="0.25">
      <c r="A63" s="31">
        <f>A62+14</f>
        <v>28</v>
      </c>
      <c r="B63" s="12">
        <v>1</v>
      </c>
      <c r="C63" s="55">
        <f>C61-F62</f>
        <v>17000</v>
      </c>
      <c r="D63" s="40">
        <f>$L$63</f>
        <v>4371.68</v>
      </c>
      <c r="E63" s="40">
        <f>ROUND(C63*$C$4,2)*$C$6</f>
        <v>2380</v>
      </c>
      <c r="F63" s="54">
        <f>D63-E63</f>
        <v>1991.6800000000003</v>
      </c>
      <c r="G63" s="44">
        <f>ROUND(C63*$M$17,2)*$C$6</f>
        <v>2142</v>
      </c>
      <c r="H63" s="45">
        <f t="shared" ref="H63:H68" si="10">F63+G63</f>
        <v>4133.68</v>
      </c>
      <c r="I63" s="142" t="s">
        <v>63</v>
      </c>
      <c r="J63" s="31" t="s">
        <v>61</v>
      </c>
      <c r="L63" s="58">
        <f>ROUND(C63*B11,2)</f>
        <v>4371.68</v>
      </c>
    </row>
    <row r="64" spans="1:12" x14ac:dyDescent="0.25">
      <c r="A64">
        <f>A63+$C$6</f>
        <v>42</v>
      </c>
      <c r="B64" s="12">
        <v>2</v>
      </c>
      <c r="C64" s="40">
        <f>C63-F63</f>
        <v>15008.32</v>
      </c>
      <c r="D64" s="40">
        <f>$L$63</f>
        <v>4371.68</v>
      </c>
      <c r="E64" s="40">
        <f>ROUND(C64*$C$4,2)*$C$6</f>
        <v>2101.1200000000003</v>
      </c>
      <c r="F64" s="54">
        <f>D64-E64</f>
        <v>2270.56</v>
      </c>
      <c r="G64" s="44">
        <f>ROUND(C64*$M$17,2)*$C$6</f>
        <v>1890.98</v>
      </c>
      <c r="H64" s="45">
        <f t="shared" si="10"/>
        <v>4161.54</v>
      </c>
      <c r="I64" s="142"/>
    </row>
    <row r="65" spans="1:10" x14ac:dyDescent="0.25">
      <c r="A65">
        <f>A64+$C$6</f>
        <v>56</v>
      </c>
      <c r="B65" s="12">
        <v>3</v>
      </c>
      <c r="C65" s="40">
        <f>C64-F64</f>
        <v>12737.76</v>
      </c>
      <c r="D65" s="40">
        <f>$L$63</f>
        <v>4371.68</v>
      </c>
      <c r="E65" s="40">
        <f>ROUND(C65*$C$4,2)*$C$6</f>
        <v>1783.32</v>
      </c>
      <c r="F65" s="54">
        <f>D65-E65</f>
        <v>2588.3600000000006</v>
      </c>
      <c r="G65" s="44">
        <f>ROUND(C65*$M$17,2)*$C$6</f>
        <v>1604.96</v>
      </c>
      <c r="H65" s="45">
        <f t="shared" si="10"/>
        <v>4193.3200000000006</v>
      </c>
      <c r="I65" s="142"/>
    </row>
    <row r="66" spans="1:10" x14ac:dyDescent="0.25">
      <c r="A66">
        <f>A65+$C$6</f>
        <v>70</v>
      </c>
      <c r="B66" s="12">
        <v>4</v>
      </c>
      <c r="C66" s="40">
        <f>C65-F65</f>
        <v>10149.4</v>
      </c>
      <c r="D66" s="40">
        <f>$L$63</f>
        <v>4371.68</v>
      </c>
      <c r="E66" s="40">
        <f>ROUND(C66*$C$4,2)*$C$6</f>
        <v>1420.86</v>
      </c>
      <c r="F66" s="54">
        <f>D66-E66</f>
        <v>2950.8200000000006</v>
      </c>
      <c r="G66" s="44">
        <f>ROUND(C66*$M$17,2)*$C$6</f>
        <v>1278.76</v>
      </c>
      <c r="H66" s="45">
        <f t="shared" si="10"/>
        <v>4229.5800000000008</v>
      </c>
      <c r="I66" s="142"/>
    </row>
    <row r="67" spans="1:10" x14ac:dyDescent="0.25">
      <c r="A67" s="31">
        <f>A66+$C$6</f>
        <v>84</v>
      </c>
      <c r="B67" s="12">
        <v>5</v>
      </c>
      <c r="C67" s="40">
        <f>C66-F66</f>
        <v>7198.579999999999</v>
      </c>
      <c r="D67" s="40">
        <f>$L$63</f>
        <v>4371.68</v>
      </c>
      <c r="E67" s="40">
        <f>ROUND(C67*$C$4,2)*$C$6</f>
        <v>1007.8599999999999</v>
      </c>
      <c r="F67" s="54">
        <f>D67-E67</f>
        <v>3363.8200000000006</v>
      </c>
      <c r="G67" s="44">
        <f>ROUND(C67*$M$17,2)*$C$6</f>
        <v>907.06000000000006</v>
      </c>
      <c r="H67" s="45">
        <f t="shared" si="10"/>
        <v>4270.880000000001</v>
      </c>
      <c r="I67" s="142"/>
      <c r="J67" s="31" t="s">
        <v>64</v>
      </c>
    </row>
    <row r="68" spans="1:10" x14ac:dyDescent="0.25">
      <c r="A68" s="31">
        <f>A54</f>
        <v>84</v>
      </c>
      <c r="B68" s="12">
        <v>6</v>
      </c>
      <c r="C68" s="40">
        <f>C67-F67</f>
        <v>3834.7599999999984</v>
      </c>
      <c r="D68" s="40">
        <f>$C$3-SUM(F62:F67)+E68</f>
        <v>3834.7599999999984</v>
      </c>
      <c r="E68" s="40">
        <f>ROUND(C68*$C$4,2)*(A68-A67)</f>
        <v>0</v>
      </c>
      <c r="F68" s="54">
        <f>C68</f>
        <v>3834.7599999999984</v>
      </c>
      <c r="G68" s="44">
        <f>ROUND(C68*$M$17,2)*(A68-A67)</f>
        <v>0</v>
      </c>
      <c r="H68" s="45">
        <f t="shared" si="10"/>
        <v>3834.7599999999984</v>
      </c>
      <c r="I68" s="34" t="s">
        <v>67</v>
      </c>
      <c r="J68" s="31" t="s">
        <v>62</v>
      </c>
    </row>
    <row r="69" spans="1:10" ht="15.75" thickBot="1" x14ac:dyDescent="0.3">
      <c r="B69" s="133" t="s">
        <v>20</v>
      </c>
      <c r="C69" s="134"/>
      <c r="D69" s="15">
        <f>SUM(D61:D68)</f>
        <v>25693.16</v>
      </c>
      <c r="E69" s="15">
        <f>SUM(E61:E68)</f>
        <v>10693.160000000002</v>
      </c>
      <c r="F69" s="16">
        <f>SUM(F61:F68)</f>
        <v>20000</v>
      </c>
      <c r="G69" s="26">
        <f>SUM(G63:G68)</f>
        <v>7823.7600000000011</v>
      </c>
      <c r="H69" s="27">
        <f>SUM(H62:H68)</f>
        <v>29823.760000000002</v>
      </c>
    </row>
    <row r="70" spans="1:10" x14ac:dyDescent="0.25">
      <c r="D70" s="28">
        <f>(E69+F69)/F69</f>
        <v>1.5346580000000001</v>
      </c>
      <c r="H70" s="29">
        <f>H69/F69</f>
        <v>1.4911880000000002</v>
      </c>
    </row>
  </sheetData>
  <mergeCells count="11">
    <mergeCell ref="B69:C69"/>
    <mergeCell ref="J36:J40"/>
    <mergeCell ref="J50:J54"/>
    <mergeCell ref="I63:I67"/>
    <mergeCell ref="B23:C23"/>
    <mergeCell ref="J6:N12"/>
    <mergeCell ref="B41:C41"/>
    <mergeCell ref="I34:I35"/>
    <mergeCell ref="B55:C55"/>
    <mergeCell ref="I48:I49"/>
    <mergeCell ref="A27:B27"/>
  </mergeCells>
  <pageMargins left="0.7" right="0.7" top="0.75" bottom="0.75" header="0.3" footer="0.3"/>
  <pageSetup paperSize="9" scale="42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492C5DE6-D1AA-4C62-AAC1-615C587721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'Варианты частичного погашения'!N16:N22</xm:f>
              <xm:sqref>J6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AD5B-926A-4670-8FD5-E9E9DA81D80E}">
  <sheetPr>
    <tabColor theme="9" tint="0.39997558519241921"/>
    <pageSetUpPr autoPageBreaks="0"/>
  </sheetPr>
  <dimension ref="A2:AD63"/>
  <sheetViews>
    <sheetView topLeftCell="A41" zoomScale="70" zoomScaleNormal="70" workbookViewId="0">
      <selection activeCell="AA40" sqref="AA40"/>
    </sheetView>
  </sheetViews>
  <sheetFormatPr defaultRowHeight="15" x14ac:dyDescent="0.25"/>
  <cols>
    <col min="1" max="1" width="11.140625" customWidth="1"/>
    <col min="2" max="2" width="26.28515625" customWidth="1"/>
    <col min="3" max="3" width="10.42578125" bestFit="1" customWidth="1"/>
    <col min="4" max="4" width="12.42578125" customWidth="1"/>
    <col min="5" max="5" width="12.85546875" customWidth="1"/>
    <col min="6" max="6" width="11.85546875" customWidth="1"/>
    <col min="7" max="7" width="12.7109375" customWidth="1"/>
    <col min="8" max="8" width="11.140625" customWidth="1"/>
    <col min="9" max="9" width="12.5703125" customWidth="1"/>
    <col min="10" max="10" width="9.140625" customWidth="1"/>
    <col min="11" max="11" width="12" customWidth="1"/>
    <col min="12" max="12" width="11" customWidth="1"/>
    <col min="13" max="13" width="10.7109375" customWidth="1"/>
    <col min="14" max="14" width="13" customWidth="1"/>
    <col min="15" max="15" width="11.7109375" customWidth="1"/>
    <col min="16" max="16" width="13.140625" customWidth="1"/>
    <col min="17" max="17" width="11.5703125" customWidth="1"/>
    <col min="18" max="18" width="10.7109375" customWidth="1"/>
    <col min="19" max="19" width="12.140625" customWidth="1"/>
    <col min="20" max="21" width="9.140625" customWidth="1"/>
    <col min="22" max="22" width="12" customWidth="1"/>
    <col min="23" max="23" width="11.5703125" customWidth="1"/>
    <col min="24" max="25" width="12.7109375" customWidth="1"/>
    <col min="26" max="26" width="14.42578125" customWidth="1"/>
    <col min="27" max="27" width="13.5703125" customWidth="1"/>
    <col min="28" max="28" width="10.42578125" customWidth="1"/>
    <col min="29" max="29" width="14.5703125" customWidth="1"/>
    <col min="30" max="30" width="16.140625" customWidth="1"/>
    <col min="31" max="33" width="9.140625" customWidth="1"/>
  </cols>
  <sheetData>
    <row r="2" spans="1:30" x14ac:dyDescent="0.25">
      <c r="B2" s="8" t="s">
        <v>0</v>
      </c>
    </row>
    <row r="3" spans="1:30" x14ac:dyDescent="0.25">
      <c r="B3" t="s">
        <v>1</v>
      </c>
      <c r="D3" s="2">
        <v>90000</v>
      </c>
    </row>
    <row r="4" spans="1:30" ht="31.5" customHeight="1" x14ac:dyDescent="0.25">
      <c r="B4" s="23" t="s">
        <v>83</v>
      </c>
      <c r="D4" s="91">
        <v>3.0000000000000001E-3</v>
      </c>
      <c r="E4" s="91">
        <v>2.7000000000000001E-3</v>
      </c>
      <c r="F4" s="123">
        <f>D4-((D4*C13))</f>
        <v>-2.7E-2</v>
      </c>
      <c r="M4" s="18"/>
      <c r="N4" s="18"/>
      <c r="O4" s="18"/>
    </row>
    <row r="5" spans="1:30" x14ac:dyDescent="0.25">
      <c r="B5" t="s">
        <v>3</v>
      </c>
      <c r="D5">
        <v>13</v>
      </c>
      <c r="I5" s="7"/>
      <c r="M5" s="20"/>
      <c r="O5" s="3"/>
    </row>
    <row r="6" spans="1:30" x14ac:dyDescent="0.25">
      <c r="B6" t="s">
        <v>4</v>
      </c>
      <c r="D6">
        <v>28</v>
      </c>
      <c r="E6">
        <f>D6*D5</f>
        <v>364</v>
      </c>
      <c r="F6">
        <f>((D4*C13))</f>
        <v>0.03</v>
      </c>
    </row>
    <row r="9" spans="1:30" x14ac:dyDescent="0.25">
      <c r="B9" t="s">
        <v>5</v>
      </c>
    </row>
    <row r="11" spans="1:30" x14ac:dyDescent="0.25">
      <c r="B11" s="5" t="s">
        <v>103</v>
      </c>
      <c r="C11" s="40">
        <f>(D3*D4)*1</f>
        <v>270</v>
      </c>
      <c r="D11" s="4"/>
      <c r="E11" s="4"/>
      <c r="F11" s="3"/>
    </row>
    <row r="12" spans="1:30" x14ac:dyDescent="0.25">
      <c r="B12" t="s">
        <v>102</v>
      </c>
      <c r="C12" s="50">
        <f>$F$17</f>
        <v>7560</v>
      </c>
      <c r="D12" s="5"/>
    </row>
    <row r="13" spans="1:30" x14ac:dyDescent="0.25">
      <c r="B13" t="s">
        <v>9</v>
      </c>
      <c r="C13">
        <v>10</v>
      </c>
      <c r="D13" s="62"/>
    </row>
    <row r="14" spans="1:30" ht="16.5" thickBot="1" x14ac:dyDescent="0.3">
      <c r="D14" s="1" t="s">
        <v>78</v>
      </c>
      <c r="E14" s="8"/>
      <c r="F14" s="8"/>
      <c r="N14" s="1" t="s">
        <v>78</v>
      </c>
      <c r="O14" s="8"/>
      <c r="P14" s="8"/>
      <c r="Y14" s="1" t="s">
        <v>78</v>
      </c>
      <c r="Z14" s="8"/>
      <c r="AA14" s="8"/>
    </row>
    <row r="15" spans="1:30" ht="45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K15" t="s">
        <v>77</v>
      </c>
      <c r="L15" t="s">
        <v>76</v>
      </c>
      <c r="M15" s="9" t="s">
        <v>15</v>
      </c>
      <c r="N15" s="10" t="s">
        <v>16</v>
      </c>
      <c r="O15" s="10" t="s">
        <v>17</v>
      </c>
      <c r="P15" s="10" t="s">
        <v>18</v>
      </c>
      <c r="Q15" s="11" t="s">
        <v>19</v>
      </c>
      <c r="R15" s="24" t="s">
        <v>41</v>
      </c>
      <c r="S15" s="25" t="s">
        <v>42</v>
      </c>
      <c r="V15" t="s">
        <v>77</v>
      </c>
      <c r="W15" t="s">
        <v>76</v>
      </c>
      <c r="X15" s="9" t="s">
        <v>15</v>
      </c>
      <c r="Y15" s="10" t="s">
        <v>16</v>
      </c>
      <c r="Z15" s="10" t="s">
        <v>17</v>
      </c>
      <c r="AA15" s="10" t="s">
        <v>18</v>
      </c>
      <c r="AB15" s="11" t="s">
        <v>19</v>
      </c>
      <c r="AC15" s="24" t="s">
        <v>41</v>
      </c>
      <c r="AD15" s="25" t="s">
        <v>42</v>
      </c>
    </row>
    <row r="16" spans="1:30" x14ac:dyDescent="0.25">
      <c r="A16" s="59">
        <v>44743</v>
      </c>
      <c r="B16">
        <v>0</v>
      </c>
      <c r="C16" s="39">
        <v>0</v>
      </c>
      <c r="E16" s="40"/>
      <c r="F16" s="40"/>
      <c r="G16" s="41"/>
      <c r="H16" s="42"/>
      <c r="I16" s="43"/>
      <c r="K16" s="59">
        <v>44743</v>
      </c>
      <c r="L16">
        <v>0</v>
      </c>
      <c r="M16" s="39">
        <v>0</v>
      </c>
      <c r="O16" s="40"/>
      <c r="P16" s="40"/>
      <c r="Q16" s="41"/>
      <c r="R16" s="42"/>
      <c r="S16" s="43"/>
      <c r="V16" s="59">
        <v>44743</v>
      </c>
      <c r="W16">
        <v>0</v>
      </c>
      <c r="X16" s="39">
        <v>0</v>
      </c>
      <c r="Z16" s="40"/>
      <c r="AA16" s="40"/>
      <c r="AB16" s="41"/>
      <c r="AC16" s="42"/>
      <c r="AD16" s="43"/>
    </row>
    <row r="17" spans="1:30" x14ac:dyDescent="0.25">
      <c r="A17" s="59">
        <f>A16+B17-B16</f>
        <v>44771</v>
      </c>
      <c r="B17">
        <f>B16+$D$6</f>
        <v>28</v>
      </c>
      <c r="C17" s="39">
        <v>1</v>
      </c>
      <c r="D17" s="40">
        <f>$D$3</f>
        <v>90000</v>
      </c>
      <c r="E17" s="40">
        <f>$F$17</f>
        <v>7560</v>
      </c>
      <c r="F17" s="40">
        <f>ROUND(D17*$D$4,2)*$D$6</f>
        <v>7560</v>
      </c>
      <c r="G17" s="41">
        <f>E17-F17</f>
        <v>0</v>
      </c>
      <c r="H17" s="92">
        <f>ROUND(D17*$E$4,2)*$D$6</f>
        <v>6804</v>
      </c>
      <c r="I17" s="45">
        <f>G17+H17</f>
        <v>6804</v>
      </c>
      <c r="K17" s="59">
        <f>K16+L17-L16</f>
        <v>44771</v>
      </c>
      <c r="L17">
        <f>L16+$D$6</f>
        <v>28</v>
      </c>
      <c r="M17" s="39">
        <v>1</v>
      </c>
      <c r="N17" s="40">
        <f>$D$3</f>
        <v>90000</v>
      </c>
      <c r="O17" s="40">
        <f>$F$17</f>
        <v>7560</v>
      </c>
      <c r="P17" s="40">
        <f>ROUND(N17*$D$4,2)*$D$6</f>
        <v>7560</v>
      </c>
      <c r="Q17" s="41">
        <f>O17-P17</f>
        <v>0</v>
      </c>
      <c r="R17" s="92">
        <f>ROUND(N17*$E$4,2)*$D$6</f>
        <v>6804</v>
      </c>
      <c r="S17" s="45">
        <f>Q17+R17</f>
        <v>6804</v>
      </c>
      <c r="V17" s="59">
        <f>V16+W17-W16</f>
        <v>44771</v>
      </c>
      <c r="W17">
        <f>W16+$D$6</f>
        <v>28</v>
      </c>
      <c r="X17" s="39">
        <v>1</v>
      </c>
      <c r="Y17" s="40">
        <f>$D$3</f>
        <v>90000</v>
      </c>
      <c r="Z17" s="40">
        <f>$F$17</f>
        <v>7560</v>
      </c>
      <c r="AA17" s="40">
        <f>ROUND(Y17*$D$4,2)*$D$6</f>
        <v>7560</v>
      </c>
      <c r="AB17" s="41">
        <f>Z17-AA17</f>
        <v>0</v>
      </c>
      <c r="AC17" s="92">
        <f>ROUND(Y17*$E$4,2)*$D$6</f>
        <v>6804</v>
      </c>
      <c r="AD17" s="45">
        <f>AB17+AC17</f>
        <v>6804</v>
      </c>
    </row>
    <row r="18" spans="1:30" x14ac:dyDescent="0.25">
      <c r="A18" s="59">
        <f t="shared" ref="A18:A29" si="0">A17+B18-B17</f>
        <v>44799</v>
      </c>
      <c r="B18">
        <f t="shared" ref="B18:B29" si="1">B17+$D$6</f>
        <v>56</v>
      </c>
      <c r="C18" s="39">
        <v>2</v>
      </c>
      <c r="D18" s="40">
        <f>D17-G17</f>
        <v>90000</v>
      </c>
      <c r="E18" s="40">
        <f t="shared" ref="E18:E28" si="2">$F$17</f>
        <v>7560</v>
      </c>
      <c r="F18" s="40">
        <f>ROUND(D18*$D$4,2)*$D$6</f>
        <v>7560</v>
      </c>
      <c r="G18" s="41">
        <f>E18-F18</f>
        <v>0</v>
      </c>
      <c r="H18" s="92">
        <f>ROUND(D18*$E$4,2)*$D$6</f>
        <v>6804</v>
      </c>
      <c r="I18" s="45">
        <f>G18+H18</f>
        <v>6804</v>
      </c>
      <c r="K18" s="59">
        <f t="shared" ref="K18:K28" si="3">K17+L18-L17</f>
        <v>44799</v>
      </c>
      <c r="L18">
        <f>L17+$D$6</f>
        <v>56</v>
      </c>
      <c r="M18" s="39">
        <v>2</v>
      </c>
      <c r="N18" s="40">
        <f>N17-Q17</f>
        <v>90000</v>
      </c>
      <c r="O18" s="40">
        <f t="shared" ref="O18:O28" si="4">$F$17</f>
        <v>7560</v>
      </c>
      <c r="P18" s="40">
        <f>ROUND(N18*$D$4,2)*$D$6</f>
        <v>7560</v>
      </c>
      <c r="Q18" s="41">
        <f>O18-P18</f>
        <v>0</v>
      </c>
      <c r="R18" s="92">
        <f>ROUND(N18*$E$4,2)*$D$6</f>
        <v>6804</v>
      </c>
      <c r="S18" s="45">
        <f>Q18+R18</f>
        <v>6804</v>
      </c>
      <c r="V18" s="59">
        <f t="shared" ref="V18:V29" si="5">V17+W18-W17</f>
        <v>44799</v>
      </c>
      <c r="W18">
        <f>W17+$D$6</f>
        <v>56</v>
      </c>
      <c r="X18" s="39">
        <v>2</v>
      </c>
      <c r="Y18" s="40">
        <f>Y17-AB17</f>
        <v>90000</v>
      </c>
      <c r="Z18" s="40">
        <f t="shared" ref="Z18:Z28" si="6">$F$17</f>
        <v>7560</v>
      </c>
      <c r="AA18" s="40">
        <f>ROUND(Y18*$D$4,2)*$D$6</f>
        <v>7560</v>
      </c>
      <c r="AB18" s="41">
        <f>Z18-AA18</f>
        <v>0</v>
      </c>
      <c r="AC18" s="92">
        <f>ROUND(Y18*$E$4,2)*$D$6</f>
        <v>6804</v>
      </c>
      <c r="AD18" s="45">
        <f>AB18+AC18</f>
        <v>6804</v>
      </c>
    </row>
    <row r="19" spans="1:30" x14ac:dyDescent="0.25">
      <c r="A19" s="59">
        <f t="shared" si="0"/>
        <v>44827</v>
      </c>
      <c r="B19">
        <f t="shared" si="1"/>
        <v>84</v>
      </c>
      <c r="C19" s="39">
        <v>3</v>
      </c>
      <c r="D19" s="40">
        <f>D18-G18</f>
        <v>90000</v>
      </c>
      <c r="E19" s="40">
        <f t="shared" si="2"/>
        <v>7560</v>
      </c>
      <c r="F19" s="40">
        <f>ROUND(D19*$D$4,2)*$D$6</f>
        <v>7560</v>
      </c>
      <c r="G19" s="41">
        <f>E19-F19</f>
        <v>0</v>
      </c>
      <c r="H19" s="92">
        <f>ROUND(D19*$E$4,2)*$D$6</f>
        <v>6804</v>
      </c>
      <c r="I19" s="45">
        <f>G19+H19</f>
        <v>6804</v>
      </c>
      <c r="K19" s="59">
        <f t="shared" si="3"/>
        <v>44827</v>
      </c>
      <c r="L19">
        <f>L18+$D$6</f>
        <v>84</v>
      </c>
      <c r="M19" s="39">
        <v>3</v>
      </c>
      <c r="N19" s="40">
        <f>N18-Q18</f>
        <v>90000</v>
      </c>
      <c r="O19" s="40">
        <f t="shared" si="4"/>
        <v>7560</v>
      </c>
      <c r="P19" s="40">
        <f>ROUND(N19*$D$4,2)*$D$6</f>
        <v>7560</v>
      </c>
      <c r="Q19" s="41">
        <f>O19-P19</f>
        <v>0</v>
      </c>
      <c r="R19" s="92">
        <f>ROUND(N19*$E$4,2)*$D$6</f>
        <v>6804</v>
      </c>
      <c r="S19" s="45">
        <f>Q19+R19</f>
        <v>6804</v>
      </c>
      <c r="V19" s="59">
        <f t="shared" si="5"/>
        <v>44827</v>
      </c>
      <c r="W19">
        <f>W18+$D$6</f>
        <v>84</v>
      </c>
      <c r="X19" s="39">
        <v>3</v>
      </c>
      <c r="Y19" s="40">
        <f>Y18-AB18</f>
        <v>90000</v>
      </c>
      <c r="Z19" s="40">
        <f t="shared" si="6"/>
        <v>7560</v>
      </c>
      <c r="AA19" s="40">
        <f>ROUND(Y19*$D$4,2)*$D$6</f>
        <v>7560</v>
      </c>
      <c r="AB19" s="41">
        <f>Z19-AA19</f>
        <v>0</v>
      </c>
      <c r="AC19" s="92">
        <f>ROUND(Y19*$E$4,2)*$D$6</f>
        <v>6804</v>
      </c>
      <c r="AD19" s="45">
        <f>AB19+AC19</f>
        <v>6804</v>
      </c>
    </row>
    <row r="20" spans="1:30" x14ac:dyDescent="0.25">
      <c r="A20" s="59">
        <f t="shared" si="0"/>
        <v>44855</v>
      </c>
      <c r="B20">
        <f t="shared" si="1"/>
        <v>112</v>
      </c>
      <c r="C20" s="39">
        <v>4</v>
      </c>
      <c r="D20" s="40">
        <f t="shared" ref="D20:D28" si="7">D19-G19</f>
        <v>90000</v>
      </c>
      <c r="E20" s="40">
        <f t="shared" si="2"/>
        <v>7560</v>
      </c>
      <c r="F20" s="40">
        <f t="shared" ref="F20:F28" si="8">ROUND(D20*$D$4,2)*$D$6</f>
        <v>7560</v>
      </c>
      <c r="G20" s="41">
        <f t="shared" ref="G20:G28" si="9">E20-F20</f>
        <v>0</v>
      </c>
      <c r="H20" s="92">
        <f t="shared" ref="H20:H28" si="10">ROUND(D20*$E$4,2)*$D$6</f>
        <v>6804</v>
      </c>
      <c r="I20" s="45">
        <f t="shared" ref="I20:I28" si="11">G20+H20</f>
        <v>6804</v>
      </c>
      <c r="K20" s="59">
        <f t="shared" si="3"/>
        <v>44855</v>
      </c>
      <c r="L20">
        <f t="shared" ref="L20:L29" si="12">L19+$D$6</f>
        <v>112</v>
      </c>
      <c r="M20" s="39">
        <v>4</v>
      </c>
      <c r="N20" s="40">
        <f t="shared" ref="N20:N28" si="13">N19-Q19</f>
        <v>90000</v>
      </c>
      <c r="O20" s="40">
        <f t="shared" si="4"/>
        <v>7560</v>
      </c>
      <c r="P20" s="40">
        <f t="shared" ref="P20:P28" si="14">ROUND(N20*$D$4,2)*$D$6</f>
        <v>7560</v>
      </c>
      <c r="Q20" s="41">
        <f t="shared" ref="Q20:Q28" si="15">O20-P20</f>
        <v>0</v>
      </c>
      <c r="R20" s="92">
        <f t="shared" ref="R20:R28" si="16">ROUND(N20*$E$4,2)*$D$6</f>
        <v>6804</v>
      </c>
      <c r="S20" s="45">
        <f t="shared" ref="S20:S28" si="17">Q20+R20</f>
        <v>6804</v>
      </c>
      <c r="V20" s="59">
        <f t="shared" si="5"/>
        <v>44855</v>
      </c>
      <c r="W20">
        <f t="shared" ref="W20:W29" si="18">W19+$D$6</f>
        <v>112</v>
      </c>
      <c r="X20" s="39">
        <v>4</v>
      </c>
      <c r="Y20" s="40">
        <f t="shared" ref="Y20:Y28" si="19">Y19-AB19</f>
        <v>90000</v>
      </c>
      <c r="Z20" s="40">
        <f t="shared" si="6"/>
        <v>7560</v>
      </c>
      <c r="AA20" s="40">
        <f t="shared" ref="AA20:AA28" si="20">ROUND(Y20*$D$4,2)*$D$6</f>
        <v>7560</v>
      </c>
      <c r="AB20" s="41">
        <f t="shared" ref="AB20:AB28" si="21">Z20-AA20</f>
        <v>0</v>
      </c>
      <c r="AC20" s="92">
        <f t="shared" ref="AC20:AC28" si="22">ROUND(Y20*$E$4,2)*$D$6</f>
        <v>6804</v>
      </c>
      <c r="AD20" s="45">
        <f t="shared" ref="AD20:AD28" si="23">AB20+AC20</f>
        <v>6804</v>
      </c>
    </row>
    <row r="21" spans="1:30" x14ac:dyDescent="0.25">
      <c r="A21" s="59">
        <f t="shared" si="0"/>
        <v>44883</v>
      </c>
      <c r="B21">
        <f t="shared" si="1"/>
        <v>140</v>
      </c>
      <c r="C21" s="39">
        <v>5</v>
      </c>
      <c r="D21" s="40">
        <f t="shared" si="7"/>
        <v>90000</v>
      </c>
      <c r="E21" s="40">
        <f t="shared" si="2"/>
        <v>7560</v>
      </c>
      <c r="F21" s="40">
        <f t="shared" si="8"/>
        <v>7560</v>
      </c>
      <c r="G21" s="41">
        <f t="shared" si="9"/>
        <v>0</v>
      </c>
      <c r="H21" s="92">
        <f t="shared" si="10"/>
        <v>6804</v>
      </c>
      <c r="I21" s="45">
        <f t="shared" si="11"/>
        <v>6804</v>
      </c>
      <c r="K21" s="59">
        <f t="shared" si="3"/>
        <v>44883</v>
      </c>
      <c r="L21">
        <f t="shared" si="12"/>
        <v>140</v>
      </c>
      <c r="M21" s="39">
        <v>5</v>
      </c>
      <c r="N21" s="40">
        <f t="shared" si="13"/>
        <v>90000</v>
      </c>
      <c r="O21" s="40">
        <f t="shared" si="4"/>
        <v>7560</v>
      </c>
      <c r="P21" s="40">
        <f t="shared" si="14"/>
        <v>7560</v>
      </c>
      <c r="Q21" s="41">
        <f t="shared" si="15"/>
        <v>0</v>
      </c>
      <c r="R21" s="92">
        <f t="shared" si="16"/>
        <v>6804</v>
      </c>
      <c r="S21" s="45">
        <f t="shared" si="17"/>
        <v>6804</v>
      </c>
      <c r="V21" s="59">
        <f t="shared" si="5"/>
        <v>44883</v>
      </c>
      <c r="W21">
        <f t="shared" si="18"/>
        <v>140</v>
      </c>
      <c r="X21" s="39">
        <v>5</v>
      </c>
      <c r="Y21" s="40">
        <f t="shared" si="19"/>
        <v>90000</v>
      </c>
      <c r="Z21" s="40">
        <f t="shared" si="6"/>
        <v>7560</v>
      </c>
      <c r="AA21" s="40">
        <f t="shared" si="20"/>
        <v>7560</v>
      </c>
      <c r="AB21" s="41">
        <f t="shared" si="21"/>
        <v>0</v>
      </c>
      <c r="AC21" s="92">
        <f t="shared" si="22"/>
        <v>6804</v>
      </c>
      <c r="AD21" s="45">
        <f t="shared" si="23"/>
        <v>6804</v>
      </c>
    </row>
    <row r="22" spans="1:30" x14ac:dyDescent="0.25">
      <c r="A22" s="59">
        <f t="shared" si="0"/>
        <v>44911</v>
      </c>
      <c r="B22">
        <f t="shared" si="1"/>
        <v>168</v>
      </c>
      <c r="C22" s="39">
        <v>6</v>
      </c>
      <c r="D22" s="40">
        <f t="shared" si="7"/>
        <v>90000</v>
      </c>
      <c r="E22" s="40">
        <f t="shared" si="2"/>
        <v>7560</v>
      </c>
      <c r="F22" s="40">
        <f t="shared" si="8"/>
        <v>7560</v>
      </c>
      <c r="G22" s="41">
        <f t="shared" si="9"/>
        <v>0</v>
      </c>
      <c r="H22" s="92">
        <f t="shared" si="10"/>
        <v>6804</v>
      </c>
      <c r="I22" s="45">
        <f t="shared" si="11"/>
        <v>6804</v>
      </c>
      <c r="K22" s="59">
        <f t="shared" si="3"/>
        <v>44911</v>
      </c>
      <c r="L22">
        <f t="shared" si="12"/>
        <v>168</v>
      </c>
      <c r="M22" s="39">
        <v>6</v>
      </c>
      <c r="N22" s="40">
        <f t="shared" si="13"/>
        <v>90000</v>
      </c>
      <c r="O22" s="40">
        <f t="shared" si="4"/>
        <v>7560</v>
      </c>
      <c r="P22" s="40">
        <f t="shared" si="14"/>
        <v>7560</v>
      </c>
      <c r="Q22" s="41">
        <f t="shared" si="15"/>
        <v>0</v>
      </c>
      <c r="R22" s="92">
        <f t="shared" si="16"/>
        <v>6804</v>
      </c>
      <c r="S22" s="45">
        <f t="shared" si="17"/>
        <v>6804</v>
      </c>
      <c r="V22" s="59">
        <f t="shared" si="5"/>
        <v>44911</v>
      </c>
      <c r="W22">
        <f t="shared" si="18"/>
        <v>168</v>
      </c>
      <c r="X22" s="39">
        <v>6</v>
      </c>
      <c r="Y22" s="40">
        <f t="shared" si="19"/>
        <v>90000</v>
      </c>
      <c r="Z22" s="40">
        <f t="shared" si="6"/>
        <v>7560</v>
      </c>
      <c r="AA22" s="40">
        <f t="shared" si="20"/>
        <v>7560</v>
      </c>
      <c r="AB22" s="41">
        <f t="shared" si="21"/>
        <v>0</v>
      </c>
      <c r="AC22" s="92">
        <f t="shared" si="22"/>
        <v>6804</v>
      </c>
      <c r="AD22" s="45">
        <f t="shared" si="23"/>
        <v>6804</v>
      </c>
    </row>
    <row r="23" spans="1:30" x14ac:dyDescent="0.25">
      <c r="A23" s="59">
        <f t="shared" si="0"/>
        <v>44939</v>
      </c>
      <c r="B23">
        <f t="shared" si="1"/>
        <v>196</v>
      </c>
      <c r="C23" s="39">
        <v>7</v>
      </c>
      <c r="D23" s="40">
        <f t="shared" si="7"/>
        <v>90000</v>
      </c>
      <c r="E23" s="40">
        <f t="shared" si="2"/>
        <v>7560</v>
      </c>
      <c r="F23" s="40">
        <f t="shared" si="8"/>
        <v>7560</v>
      </c>
      <c r="G23" s="41">
        <f t="shared" si="9"/>
        <v>0</v>
      </c>
      <c r="H23" s="92">
        <f t="shared" si="10"/>
        <v>6804</v>
      </c>
      <c r="I23" s="45">
        <f t="shared" si="11"/>
        <v>6804</v>
      </c>
      <c r="K23" s="59">
        <f t="shared" si="3"/>
        <v>44939</v>
      </c>
      <c r="L23">
        <f t="shared" si="12"/>
        <v>196</v>
      </c>
      <c r="M23" s="39">
        <v>7</v>
      </c>
      <c r="N23" s="40">
        <f t="shared" si="13"/>
        <v>90000</v>
      </c>
      <c r="O23" s="40">
        <f t="shared" si="4"/>
        <v>7560</v>
      </c>
      <c r="P23" s="40">
        <f t="shared" si="14"/>
        <v>7560</v>
      </c>
      <c r="Q23" s="41">
        <f t="shared" si="15"/>
        <v>0</v>
      </c>
      <c r="R23" s="92">
        <f t="shared" si="16"/>
        <v>6804</v>
      </c>
      <c r="S23" s="45">
        <f t="shared" si="17"/>
        <v>6804</v>
      </c>
      <c r="V23" s="59">
        <f t="shared" si="5"/>
        <v>44939</v>
      </c>
      <c r="W23">
        <f t="shared" si="18"/>
        <v>196</v>
      </c>
      <c r="X23" s="39">
        <v>7</v>
      </c>
      <c r="Y23" s="40">
        <f t="shared" si="19"/>
        <v>90000</v>
      </c>
      <c r="Z23" s="40">
        <f t="shared" si="6"/>
        <v>7560</v>
      </c>
      <c r="AA23" s="40">
        <f t="shared" si="20"/>
        <v>7560</v>
      </c>
      <c r="AB23" s="41">
        <f t="shared" si="21"/>
        <v>0</v>
      </c>
      <c r="AC23" s="92">
        <f t="shared" si="22"/>
        <v>6804</v>
      </c>
      <c r="AD23" s="45">
        <f t="shared" si="23"/>
        <v>6804</v>
      </c>
    </row>
    <row r="24" spans="1:30" x14ac:dyDescent="0.25">
      <c r="A24" s="59">
        <f t="shared" si="0"/>
        <v>44967</v>
      </c>
      <c r="B24">
        <f t="shared" si="1"/>
        <v>224</v>
      </c>
      <c r="C24" s="39">
        <v>8</v>
      </c>
      <c r="D24" s="40">
        <f t="shared" si="7"/>
        <v>90000</v>
      </c>
      <c r="E24" s="40">
        <f t="shared" si="2"/>
        <v>7560</v>
      </c>
      <c r="F24" s="40">
        <f t="shared" si="8"/>
        <v>7560</v>
      </c>
      <c r="G24" s="41">
        <f t="shared" si="9"/>
        <v>0</v>
      </c>
      <c r="H24" s="92">
        <f t="shared" si="10"/>
        <v>6804</v>
      </c>
      <c r="I24" s="45">
        <f t="shared" si="11"/>
        <v>6804</v>
      </c>
      <c r="K24" s="59">
        <f t="shared" si="3"/>
        <v>44967</v>
      </c>
      <c r="L24">
        <f t="shared" si="12"/>
        <v>224</v>
      </c>
      <c r="M24" s="39">
        <v>8</v>
      </c>
      <c r="N24" s="40">
        <f t="shared" si="13"/>
        <v>90000</v>
      </c>
      <c r="O24" s="40">
        <f t="shared" si="4"/>
        <v>7560</v>
      </c>
      <c r="P24" s="40">
        <f t="shared" si="14"/>
        <v>7560</v>
      </c>
      <c r="Q24" s="41">
        <f t="shared" si="15"/>
        <v>0</v>
      </c>
      <c r="R24" s="92">
        <f t="shared" si="16"/>
        <v>6804</v>
      </c>
      <c r="S24" s="45">
        <f t="shared" si="17"/>
        <v>6804</v>
      </c>
      <c r="V24" s="59">
        <f t="shared" si="5"/>
        <v>44967</v>
      </c>
      <c r="W24">
        <f t="shared" si="18"/>
        <v>224</v>
      </c>
      <c r="X24" s="39">
        <v>8</v>
      </c>
      <c r="Y24" s="40">
        <f t="shared" si="19"/>
        <v>90000</v>
      </c>
      <c r="Z24" s="40">
        <f t="shared" si="6"/>
        <v>7560</v>
      </c>
      <c r="AA24" s="40">
        <f t="shared" si="20"/>
        <v>7560</v>
      </c>
      <c r="AB24" s="41">
        <f t="shared" si="21"/>
        <v>0</v>
      </c>
      <c r="AC24" s="92">
        <f t="shared" si="22"/>
        <v>6804</v>
      </c>
      <c r="AD24" s="45">
        <f t="shared" si="23"/>
        <v>6804</v>
      </c>
    </row>
    <row r="25" spans="1:30" x14ac:dyDescent="0.25">
      <c r="A25" s="59">
        <f t="shared" si="0"/>
        <v>44995</v>
      </c>
      <c r="B25">
        <f t="shared" si="1"/>
        <v>252</v>
      </c>
      <c r="C25" s="39">
        <v>9</v>
      </c>
      <c r="D25" s="40">
        <f t="shared" si="7"/>
        <v>90000</v>
      </c>
      <c r="E25" s="40">
        <f t="shared" si="2"/>
        <v>7560</v>
      </c>
      <c r="F25" s="40">
        <f t="shared" si="8"/>
        <v>7560</v>
      </c>
      <c r="G25" s="41">
        <f t="shared" si="9"/>
        <v>0</v>
      </c>
      <c r="H25" s="92">
        <f t="shared" si="10"/>
        <v>6804</v>
      </c>
      <c r="I25" s="45">
        <f t="shared" si="11"/>
        <v>6804</v>
      </c>
      <c r="K25" s="59">
        <f t="shared" si="3"/>
        <v>44995</v>
      </c>
      <c r="L25">
        <f t="shared" si="12"/>
        <v>252</v>
      </c>
      <c r="M25" s="39">
        <v>9</v>
      </c>
      <c r="N25" s="40">
        <f t="shared" si="13"/>
        <v>90000</v>
      </c>
      <c r="O25" s="40">
        <f t="shared" si="4"/>
        <v>7560</v>
      </c>
      <c r="P25" s="40">
        <f t="shared" si="14"/>
        <v>7560</v>
      </c>
      <c r="Q25" s="41">
        <f t="shared" si="15"/>
        <v>0</v>
      </c>
      <c r="R25" s="92">
        <f t="shared" si="16"/>
        <v>6804</v>
      </c>
      <c r="S25" s="45">
        <f t="shared" si="17"/>
        <v>6804</v>
      </c>
      <c r="V25" s="59">
        <f t="shared" si="5"/>
        <v>44995</v>
      </c>
      <c r="W25">
        <f t="shared" si="18"/>
        <v>252</v>
      </c>
      <c r="X25" s="39">
        <v>9</v>
      </c>
      <c r="Y25" s="40">
        <f t="shared" si="19"/>
        <v>90000</v>
      </c>
      <c r="Z25" s="40">
        <f t="shared" si="6"/>
        <v>7560</v>
      </c>
      <c r="AA25" s="40">
        <f t="shared" si="20"/>
        <v>7560</v>
      </c>
      <c r="AB25" s="41">
        <f t="shared" si="21"/>
        <v>0</v>
      </c>
      <c r="AC25" s="92">
        <f t="shared" si="22"/>
        <v>6804</v>
      </c>
      <c r="AD25" s="45">
        <f t="shared" si="23"/>
        <v>6804</v>
      </c>
    </row>
    <row r="26" spans="1:30" x14ac:dyDescent="0.25">
      <c r="A26" s="59">
        <f t="shared" si="0"/>
        <v>45023</v>
      </c>
      <c r="B26">
        <f t="shared" si="1"/>
        <v>280</v>
      </c>
      <c r="C26" s="39">
        <v>10</v>
      </c>
      <c r="D26" s="40">
        <f t="shared" si="7"/>
        <v>90000</v>
      </c>
      <c r="E26" s="40">
        <f t="shared" si="2"/>
        <v>7560</v>
      </c>
      <c r="F26" s="40">
        <f t="shared" si="8"/>
        <v>7560</v>
      </c>
      <c r="G26" s="41">
        <f t="shared" si="9"/>
        <v>0</v>
      </c>
      <c r="H26" s="92">
        <f t="shared" si="10"/>
        <v>6804</v>
      </c>
      <c r="I26" s="45">
        <f t="shared" si="11"/>
        <v>6804</v>
      </c>
      <c r="K26" s="59">
        <f t="shared" si="3"/>
        <v>45023</v>
      </c>
      <c r="L26">
        <f t="shared" si="12"/>
        <v>280</v>
      </c>
      <c r="M26" s="39">
        <v>10</v>
      </c>
      <c r="N26" s="40">
        <f t="shared" si="13"/>
        <v>90000</v>
      </c>
      <c r="O26" s="40">
        <f t="shared" si="4"/>
        <v>7560</v>
      </c>
      <c r="P26" s="40">
        <f t="shared" si="14"/>
        <v>7560</v>
      </c>
      <c r="Q26" s="41">
        <f t="shared" si="15"/>
        <v>0</v>
      </c>
      <c r="R26" s="92">
        <f t="shared" si="16"/>
        <v>6804</v>
      </c>
      <c r="S26" s="45">
        <f t="shared" si="17"/>
        <v>6804</v>
      </c>
      <c r="V26" s="59">
        <f t="shared" si="5"/>
        <v>45023</v>
      </c>
      <c r="W26">
        <f t="shared" si="18"/>
        <v>280</v>
      </c>
      <c r="X26" s="39">
        <v>10</v>
      </c>
      <c r="Y26" s="40">
        <f t="shared" si="19"/>
        <v>90000</v>
      </c>
      <c r="Z26" s="40">
        <f t="shared" si="6"/>
        <v>7560</v>
      </c>
      <c r="AA26" s="40">
        <f t="shared" si="20"/>
        <v>7560</v>
      </c>
      <c r="AB26" s="41">
        <f t="shared" si="21"/>
        <v>0</v>
      </c>
      <c r="AC26" s="92">
        <f t="shared" si="22"/>
        <v>6804</v>
      </c>
      <c r="AD26" s="45">
        <f t="shared" si="23"/>
        <v>6804</v>
      </c>
    </row>
    <row r="27" spans="1:30" x14ac:dyDescent="0.25">
      <c r="A27" s="59">
        <f t="shared" si="0"/>
        <v>45051</v>
      </c>
      <c r="B27">
        <f t="shared" si="1"/>
        <v>308</v>
      </c>
      <c r="C27" s="39">
        <v>11</v>
      </c>
      <c r="D27" s="40">
        <f t="shared" si="7"/>
        <v>90000</v>
      </c>
      <c r="E27" s="40">
        <f>$F$17</f>
        <v>7560</v>
      </c>
      <c r="F27" s="40">
        <f t="shared" si="8"/>
        <v>7560</v>
      </c>
      <c r="G27" s="41">
        <f t="shared" si="9"/>
        <v>0</v>
      </c>
      <c r="H27" s="92">
        <f t="shared" si="10"/>
        <v>6804</v>
      </c>
      <c r="I27" s="45">
        <f t="shared" si="11"/>
        <v>6804</v>
      </c>
      <c r="K27" s="59">
        <f t="shared" si="3"/>
        <v>45051</v>
      </c>
      <c r="L27">
        <f t="shared" si="12"/>
        <v>308</v>
      </c>
      <c r="M27" s="39">
        <v>11</v>
      </c>
      <c r="N27" s="40">
        <f t="shared" si="13"/>
        <v>90000</v>
      </c>
      <c r="O27" s="40">
        <f>$F$17</f>
        <v>7560</v>
      </c>
      <c r="P27" s="40">
        <f t="shared" si="14"/>
        <v>7560</v>
      </c>
      <c r="Q27" s="41">
        <f t="shared" si="15"/>
        <v>0</v>
      </c>
      <c r="R27" s="92">
        <f t="shared" si="16"/>
        <v>6804</v>
      </c>
      <c r="S27" s="45">
        <f t="shared" si="17"/>
        <v>6804</v>
      </c>
      <c r="V27" s="59">
        <f t="shared" si="5"/>
        <v>45051</v>
      </c>
      <c r="W27">
        <f t="shared" si="18"/>
        <v>308</v>
      </c>
      <c r="X27" s="39">
        <v>11</v>
      </c>
      <c r="Y27" s="40">
        <f t="shared" si="19"/>
        <v>90000</v>
      </c>
      <c r="Z27" s="40">
        <f>$F$17</f>
        <v>7560</v>
      </c>
      <c r="AA27" s="40">
        <f t="shared" si="20"/>
        <v>7560</v>
      </c>
      <c r="AB27" s="41">
        <f t="shared" si="21"/>
        <v>0</v>
      </c>
      <c r="AC27" s="92">
        <f t="shared" si="22"/>
        <v>6804</v>
      </c>
      <c r="AD27" s="45">
        <f t="shared" si="23"/>
        <v>6804</v>
      </c>
    </row>
    <row r="28" spans="1:30" x14ac:dyDescent="0.25">
      <c r="A28" s="59">
        <f t="shared" si="0"/>
        <v>45079</v>
      </c>
      <c r="B28">
        <f t="shared" si="1"/>
        <v>336</v>
      </c>
      <c r="C28" s="39">
        <v>12</v>
      </c>
      <c r="D28" s="40">
        <f t="shared" si="7"/>
        <v>90000</v>
      </c>
      <c r="E28" s="40">
        <f t="shared" si="2"/>
        <v>7560</v>
      </c>
      <c r="F28" s="40">
        <f t="shared" si="8"/>
        <v>7560</v>
      </c>
      <c r="G28" s="41">
        <f t="shared" si="9"/>
        <v>0</v>
      </c>
      <c r="H28" s="92">
        <f t="shared" si="10"/>
        <v>6804</v>
      </c>
      <c r="I28" s="45">
        <f t="shared" si="11"/>
        <v>6804</v>
      </c>
      <c r="K28" s="59">
        <f t="shared" si="3"/>
        <v>45079</v>
      </c>
      <c r="L28">
        <f t="shared" si="12"/>
        <v>336</v>
      </c>
      <c r="M28" s="39">
        <v>12</v>
      </c>
      <c r="N28" s="40">
        <f t="shared" si="13"/>
        <v>90000</v>
      </c>
      <c r="O28" s="40">
        <f t="shared" si="4"/>
        <v>7560</v>
      </c>
      <c r="P28" s="40">
        <f t="shared" si="14"/>
        <v>7560</v>
      </c>
      <c r="Q28" s="41">
        <f t="shared" si="15"/>
        <v>0</v>
      </c>
      <c r="R28" s="92">
        <f t="shared" si="16"/>
        <v>6804</v>
      </c>
      <c r="S28" s="45">
        <f t="shared" si="17"/>
        <v>6804</v>
      </c>
      <c r="V28" s="59">
        <f t="shared" si="5"/>
        <v>45079</v>
      </c>
      <c r="W28">
        <f t="shared" si="18"/>
        <v>336</v>
      </c>
      <c r="X28" s="39">
        <v>12</v>
      </c>
      <c r="Y28" s="40">
        <f t="shared" si="19"/>
        <v>90000</v>
      </c>
      <c r="Z28" s="40">
        <f t="shared" si="6"/>
        <v>7560</v>
      </c>
      <c r="AA28" s="40">
        <f t="shared" si="20"/>
        <v>7560</v>
      </c>
      <c r="AB28" s="41">
        <f t="shared" si="21"/>
        <v>0</v>
      </c>
      <c r="AC28" s="92">
        <f t="shared" si="22"/>
        <v>6804</v>
      </c>
      <c r="AD28" s="45">
        <f t="shared" si="23"/>
        <v>6804</v>
      </c>
    </row>
    <row r="29" spans="1:30" x14ac:dyDescent="0.25">
      <c r="A29" s="59">
        <f t="shared" si="0"/>
        <v>45107</v>
      </c>
      <c r="B29">
        <f t="shared" si="1"/>
        <v>364</v>
      </c>
      <c r="C29" s="39">
        <v>13</v>
      </c>
      <c r="D29" s="40">
        <f>D28-G28</f>
        <v>90000</v>
      </c>
      <c r="E29" s="40">
        <f>$F$17+D29</f>
        <v>97560</v>
      </c>
      <c r="F29" s="40">
        <f>ROUND(D29*$D$4,2)*$D$6</f>
        <v>7560</v>
      </c>
      <c r="G29" s="41">
        <f>E29-F29</f>
        <v>90000</v>
      </c>
      <c r="H29" s="92">
        <f>ROUND(D29*$E$4,2)*$D$6</f>
        <v>6804</v>
      </c>
      <c r="I29" s="45">
        <f>G29+H29</f>
        <v>96804</v>
      </c>
      <c r="K29" s="59">
        <f>K19+L29-L19</f>
        <v>45107</v>
      </c>
      <c r="L29">
        <f t="shared" si="12"/>
        <v>364</v>
      </c>
      <c r="M29" s="39">
        <v>13</v>
      </c>
      <c r="N29" s="40">
        <f>N28-Q28</f>
        <v>90000</v>
      </c>
      <c r="O29" s="40">
        <f>$F$17+N29</f>
        <v>97560</v>
      </c>
      <c r="P29" s="40">
        <f>ROUND(N29*$D$4,2)*$D$6</f>
        <v>7560</v>
      </c>
      <c r="Q29" s="41">
        <f>O29-P29</f>
        <v>90000</v>
      </c>
      <c r="R29" s="92">
        <f>ROUND(N29*$E$4,2)*$D$6</f>
        <v>6804</v>
      </c>
      <c r="S29" s="45">
        <f>Q29+R29</f>
        <v>96804</v>
      </c>
      <c r="V29" s="59">
        <f t="shared" si="5"/>
        <v>45107</v>
      </c>
      <c r="W29">
        <f t="shared" si="18"/>
        <v>364</v>
      </c>
      <c r="X29" s="39">
        <v>13</v>
      </c>
      <c r="Y29" s="40">
        <f>Y28-AB28</f>
        <v>90000</v>
      </c>
      <c r="Z29" s="40">
        <f>$F$17+Y29</f>
        <v>97560</v>
      </c>
      <c r="AA29" s="40">
        <f>ROUND(Y29*$D$4,2)*$D$6</f>
        <v>7560</v>
      </c>
      <c r="AB29" s="41">
        <f>Z29-AA29</f>
        <v>90000</v>
      </c>
      <c r="AC29" s="92">
        <f>ROUND(Y29*$E$4,2)*$D$6</f>
        <v>6804</v>
      </c>
      <c r="AD29" s="45">
        <f>AB29+AC29</f>
        <v>96804</v>
      </c>
    </row>
    <row r="30" spans="1:30" ht="15.75" thickBot="1" x14ac:dyDescent="0.3">
      <c r="C30" s="136" t="s">
        <v>20</v>
      </c>
      <c r="D30" s="137"/>
      <c r="E30" s="121">
        <f>SUM(E16:E29)</f>
        <v>188280</v>
      </c>
      <c r="F30" s="121">
        <f>SUM(F16:F29)</f>
        <v>98280</v>
      </c>
      <c r="G30" s="47">
        <f>SUM(G16:G29)</f>
        <v>90000</v>
      </c>
      <c r="H30" s="48">
        <f>SUM(H17:H29)</f>
        <v>88452</v>
      </c>
      <c r="I30" s="49">
        <f>G30+H30</f>
        <v>178452</v>
      </c>
      <c r="K30" s="59"/>
      <c r="M30" s="136" t="s">
        <v>20</v>
      </c>
      <c r="N30" s="137"/>
      <c r="O30" s="121">
        <f>SUM(O16:O29)</f>
        <v>188280</v>
      </c>
      <c r="P30" s="121">
        <f>SUM(P16:P29)</f>
        <v>98280</v>
      </c>
      <c r="Q30" s="47">
        <f>SUM(Q16:Q29)</f>
        <v>90000</v>
      </c>
      <c r="R30" s="48">
        <f>SUM(R17:R29)</f>
        <v>88452</v>
      </c>
      <c r="S30" s="49">
        <f>Q30+R30</f>
        <v>178452</v>
      </c>
      <c r="V30" s="59"/>
      <c r="X30" s="136" t="s">
        <v>20</v>
      </c>
      <c r="Y30" s="137"/>
      <c r="Z30" s="121">
        <f>SUM(Z16:Z29)</f>
        <v>188280</v>
      </c>
      <c r="AA30" s="121">
        <f>SUM(AA16:AA29)</f>
        <v>98280</v>
      </c>
      <c r="AB30" s="47">
        <f>SUM(AB16:AB29)</f>
        <v>90000</v>
      </c>
      <c r="AC30" s="48">
        <f>SUM(AC17:AC29)</f>
        <v>88452</v>
      </c>
      <c r="AD30" s="49">
        <f>AB30+AC30</f>
        <v>178452</v>
      </c>
    </row>
    <row r="31" spans="1:30" x14ac:dyDescent="0.25">
      <c r="E31" s="28">
        <f>E30/G30</f>
        <v>2.0920000000000001</v>
      </c>
      <c r="I31" s="29">
        <f>I30/G30</f>
        <v>1.9827999999999999</v>
      </c>
      <c r="K31" s="59"/>
      <c r="O31" s="28">
        <f>O30/Q30</f>
        <v>2.0920000000000001</v>
      </c>
      <c r="S31" s="29">
        <f>S30/Q30</f>
        <v>1.9827999999999999</v>
      </c>
      <c r="V31" s="59"/>
      <c r="Z31" s="28">
        <f>Z30/AB30</f>
        <v>2.0920000000000001</v>
      </c>
      <c r="AD31" s="29">
        <f>AD30/AB30</f>
        <v>1.9827999999999999</v>
      </c>
    </row>
    <row r="33" spans="1:30" ht="15.75" thickBot="1" x14ac:dyDescent="0.3"/>
    <row r="34" spans="1:30" ht="105" x14ac:dyDescent="0.25">
      <c r="B34" s="63" t="s">
        <v>43</v>
      </c>
      <c r="C34" s="9" t="s">
        <v>45</v>
      </c>
      <c r="D34" s="10" t="s">
        <v>65</v>
      </c>
      <c r="E34" s="10" t="s">
        <v>46</v>
      </c>
      <c r="F34" s="10" t="s">
        <v>47</v>
      </c>
      <c r="G34" s="10" t="s">
        <v>48</v>
      </c>
      <c r="H34" s="10" t="s">
        <v>69</v>
      </c>
      <c r="I34" s="11" t="s">
        <v>49</v>
      </c>
      <c r="L34" s="67" t="s">
        <v>94</v>
      </c>
      <c r="M34" s="9" t="s">
        <v>45</v>
      </c>
      <c r="N34" s="10" t="s">
        <v>65</v>
      </c>
      <c r="O34" s="10" t="s">
        <v>95</v>
      </c>
      <c r="P34" s="10" t="s">
        <v>47</v>
      </c>
      <c r="Q34" s="10" t="s">
        <v>48</v>
      </c>
      <c r="R34" s="10" t="s">
        <v>69</v>
      </c>
      <c r="S34" s="11" t="s">
        <v>49</v>
      </c>
      <c r="W34" s="67" t="s">
        <v>94</v>
      </c>
      <c r="X34" s="9" t="s">
        <v>45</v>
      </c>
      <c r="Y34" s="10" t="s">
        <v>65</v>
      </c>
      <c r="Z34" s="10" t="s">
        <v>95</v>
      </c>
      <c r="AA34" s="10" t="s">
        <v>47</v>
      </c>
      <c r="AB34" s="10" t="s">
        <v>48</v>
      </c>
      <c r="AC34" s="10" t="s">
        <v>69</v>
      </c>
      <c r="AD34" s="11" t="s">
        <v>49</v>
      </c>
    </row>
    <row r="35" spans="1:30" ht="15.75" thickBot="1" x14ac:dyDescent="0.3">
      <c r="C35" s="56">
        <f>$D$17</f>
        <v>90000</v>
      </c>
      <c r="D35" s="57">
        <f>$F$17+$G$17</f>
        <v>7560</v>
      </c>
      <c r="E35" s="57">
        <f>ROUND($C$35*$D$4,2)*10</f>
        <v>2700</v>
      </c>
      <c r="F35" s="57">
        <f>$G$17</f>
        <v>0</v>
      </c>
      <c r="G35" s="44">
        <f>ROUND($C$35*$E$4,2)*10</f>
        <v>2430</v>
      </c>
      <c r="H35" s="57">
        <f>C35+G35</f>
        <v>92430</v>
      </c>
      <c r="I35" s="83">
        <f>C35+E35</f>
        <v>92700</v>
      </c>
      <c r="M35" s="56">
        <f>N18</f>
        <v>90000</v>
      </c>
      <c r="N35" s="57">
        <f>$P$18+$Q$18</f>
        <v>7560</v>
      </c>
      <c r="O35" s="57">
        <f>ROUND($M$35*$D$4,2)*(L44-L43)</f>
        <v>3240</v>
      </c>
      <c r="P35" s="57">
        <f>$Q$18</f>
        <v>0</v>
      </c>
      <c r="Q35" s="44">
        <f>ROUND($M$35*$E$4,2)*(L44-L43)</f>
        <v>2916</v>
      </c>
      <c r="R35" s="57">
        <f>M35+Q35</f>
        <v>92916</v>
      </c>
      <c r="S35" s="83">
        <f>M35+O35</f>
        <v>93240</v>
      </c>
      <c r="W35" s="78" t="s">
        <v>79</v>
      </c>
      <c r="X35" s="56">
        <f>Y18</f>
        <v>90000</v>
      </c>
      <c r="Y35" s="57">
        <f>$P$17+$Q$17</f>
        <v>7560</v>
      </c>
      <c r="Z35" s="57">
        <f>ROUND(X35*$D$4,2)*(W44-W43)</f>
        <v>3240</v>
      </c>
      <c r="AA35" s="57">
        <f>$Q$18</f>
        <v>0</v>
      </c>
      <c r="AB35" s="76">
        <f>ROUND($X$35*$E$4,2)*(W44-W43)</f>
        <v>2916</v>
      </c>
      <c r="AC35" s="57">
        <f>X35+AB35+Z38</f>
        <v>100476</v>
      </c>
      <c r="AD35" s="83">
        <f>X35+Z35+Z38</f>
        <v>100800</v>
      </c>
    </row>
    <row r="37" spans="1:30" x14ac:dyDescent="0.25">
      <c r="X37" t="s">
        <v>45</v>
      </c>
      <c r="Y37" t="s">
        <v>82</v>
      </c>
    </row>
    <row r="38" spans="1:30" ht="15.75" thickBot="1" x14ac:dyDescent="0.3">
      <c r="W38" s="77" t="s">
        <v>80</v>
      </c>
      <c r="X38" s="56">
        <f>AB43</f>
        <v>0</v>
      </c>
      <c r="Y38" s="57">
        <f>AA43+ROUND(X38*D4,2)*(W44-W43)</f>
        <v>7560</v>
      </c>
      <c r="Z38" s="79">
        <f>X38+Y38</f>
        <v>7560</v>
      </c>
    </row>
    <row r="39" spans="1:30" x14ac:dyDescent="0.25">
      <c r="Z39" s="23"/>
    </row>
    <row r="40" spans="1:30" ht="90.75" thickBot="1" x14ac:dyDescent="0.3">
      <c r="B40" t="s">
        <v>70</v>
      </c>
      <c r="C40" s="32">
        <v>2700</v>
      </c>
      <c r="E40" t="s">
        <v>116</v>
      </c>
      <c r="L40" t="s">
        <v>70</v>
      </c>
      <c r="M40" s="32">
        <v>3240</v>
      </c>
      <c r="O40" t="s">
        <v>117</v>
      </c>
      <c r="W40" t="s">
        <v>70</v>
      </c>
      <c r="X40" s="80">
        <f>Z40-Z38</f>
        <v>3240</v>
      </c>
      <c r="Y40" s="23" t="s">
        <v>119</v>
      </c>
      <c r="Z40" s="81">
        <f>Z38+Z35</f>
        <v>10800</v>
      </c>
    </row>
    <row r="41" spans="1:30" ht="45" x14ac:dyDescent="0.25">
      <c r="A41" t="s">
        <v>77</v>
      </c>
      <c r="B41" t="s">
        <v>76</v>
      </c>
      <c r="C41" s="9" t="s">
        <v>15</v>
      </c>
      <c r="D41" s="10" t="s">
        <v>71</v>
      </c>
      <c r="E41" s="10" t="s">
        <v>73</v>
      </c>
      <c r="F41" s="10" t="s">
        <v>72</v>
      </c>
      <c r="G41" s="11" t="s">
        <v>19</v>
      </c>
      <c r="H41" s="24" t="s">
        <v>85</v>
      </c>
      <c r="I41" s="25" t="s">
        <v>86</v>
      </c>
      <c r="K41" t="s">
        <v>77</v>
      </c>
      <c r="L41" t="s">
        <v>76</v>
      </c>
      <c r="M41" s="9" t="s">
        <v>15</v>
      </c>
      <c r="N41" s="10" t="s">
        <v>71</v>
      </c>
      <c r="O41" s="10" t="s">
        <v>73</v>
      </c>
      <c r="P41" s="10" t="s">
        <v>72</v>
      </c>
      <c r="Q41" s="11" t="s">
        <v>19</v>
      </c>
      <c r="R41" s="24" t="s">
        <v>85</v>
      </c>
      <c r="S41" s="25" t="s">
        <v>86</v>
      </c>
      <c r="V41" t="s">
        <v>77</v>
      </c>
      <c r="W41" t="s">
        <v>76</v>
      </c>
      <c r="X41" s="9" t="s">
        <v>15</v>
      </c>
      <c r="Y41" s="10" t="s">
        <v>71</v>
      </c>
      <c r="Z41" s="10" t="s">
        <v>73</v>
      </c>
      <c r="AA41" s="10" t="s">
        <v>72</v>
      </c>
      <c r="AB41" s="11" t="s">
        <v>19</v>
      </c>
      <c r="AC41" s="24" t="s">
        <v>85</v>
      </c>
      <c r="AD41" s="25" t="s">
        <v>86</v>
      </c>
    </row>
    <row r="42" spans="1:30" x14ac:dyDescent="0.25">
      <c r="A42" s="59">
        <v>44743</v>
      </c>
      <c r="B42">
        <v>0</v>
      </c>
      <c r="C42" s="39">
        <v>0</v>
      </c>
      <c r="D42" s="40">
        <f>$D$3</f>
        <v>90000</v>
      </c>
      <c r="E42" s="40"/>
      <c r="F42" s="40"/>
      <c r="G42" s="41"/>
      <c r="H42" s="42"/>
      <c r="I42" s="43"/>
      <c r="K42" s="59">
        <v>44743</v>
      </c>
      <c r="L42">
        <v>0</v>
      </c>
      <c r="M42" s="39">
        <v>0</v>
      </c>
      <c r="N42" s="40">
        <f>$D$3</f>
        <v>90000</v>
      </c>
      <c r="O42" s="40"/>
      <c r="P42" s="40"/>
      <c r="Q42" s="41"/>
      <c r="R42" s="42"/>
      <c r="S42" s="43"/>
      <c r="V42" s="59">
        <v>44743</v>
      </c>
      <c r="W42">
        <v>0</v>
      </c>
      <c r="X42" s="39">
        <v>0</v>
      </c>
      <c r="Y42" s="40">
        <f>$D$3</f>
        <v>90000</v>
      </c>
      <c r="Z42" s="40"/>
      <c r="AA42" s="40"/>
      <c r="AB42" s="41"/>
      <c r="AC42" s="42"/>
      <c r="AD42" s="43"/>
    </row>
    <row r="43" spans="1:30" x14ac:dyDescent="0.25">
      <c r="A43" s="59">
        <f>A42+B43-B42</f>
        <v>44753</v>
      </c>
      <c r="B43" s="64">
        <v>10</v>
      </c>
      <c r="C43" s="39"/>
      <c r="E43" s="40"/>
      <c r="F43" s="72">
        <f>IF($E$35-$C$40&gt;0,$C$40,$E$35)</f>
        <v>2700</v>
      </c>
      <c r="G43" s="71">
        <f>C40-F43</f>
        <v>0</v>
      </c>
      <c r="H43" s="42"/>
      <c r="I43" s="43"/>
      <c r="J43" s="61"/>
      <c r="K43" s="59">
        <f>K42+L43-L42</f>
        <v>44771</v>
      </c>
      <c r="L43">
        <f>L42+$D$6</f>
        <v>28</v>
      </c>
      <c r="M43" s="39">
        <v>1</v>
      </c>
      <c r="N43" s="53">
        <f>N42</f>
        <v>90000</v>
      </c>
      <c r="O43" s="53">
        <f>Q43+P43</f>
        <v>7560</v>
      </c>
      <c r="P43" s="53">
        <f>P17</f>
        <v>7560</v>
      </c>
      <c r="Q43" s="54">
        <f>Q17</f>
        <v>0</v>
      </c>
      <c r="R43" s="92">
        <f>IF(P43&lt;&gt;P17,P43,ROUND(N43*$E$4,2)*$D$6)</f>
        <v>6804</v>
      </c>
      <c r="S43" s="117">
        <f>Q43+R43</f>
        <v>6804</v>
      </c>
      <c r="V43" s="59">
        <f>V42+W43-W42</f>
        <v>44771</v>
      </c>
      <c r="W43">
        <f>W42+$D$6</f>
        <v>28</v>
      </c>
      <c r="X43" s="39">
        <v>1</v>
      </c>
      <c r="Y43" s="74">
        <f>Y42</f>
        <v>90000</v>
      </c>
      <c r="Z43" s="74">
        <f>Z17</f>
        <v>7560</v>
      </c>
      <c r="AA43" s="74">
        <f>ROUND(Y43*$D$4,2)*$D$6</f>
        <v>7560</v>
      </c>
      <c r="AB43" s="75">
        <f>AB17</f>
        <v>0</v>
      </c>
      <c r="AC43" s="89">
        <v>1184.3999999999999</v>
      </c>
      <c r="AD43" s="90">
        <f>AB43+AC43</f>
        <v>1184.3999999999999</v>
      </c>
    </row>
    <row r="44" spans="1:30" x14ac:dyDescent="0.25">
      <c r="A44" s="59">
        <f>A43+B44-B43</f>
        <v>44771</v>
      </c>
      <c r="B44" s="60">
        <f>B42+$D$6</f>
        <v>28</v>
      </c>
      <c r="C44" s="39">
        <v>1</v>
      </c>
      <c r="D44" s="40">
        <f>$D$42</f>
        <v>90000</v>
      </c>
      <c r="E44" s="40">
        <f>F44+G44</f>
        <v>4860</v>
      </c>
      <c r="F44" s="40">
        <f>ROUND(D44*$D$4,2)*(B44-B43)+E35-C40</f>
        <v>4860</v>
      </c>
      <c r="G44" s="41">
        <f>G17-G43</f>
        <v>0</v>
      </c>
      <c r="H44" s="92">
        <f>ROUND(D44*$E$4,2)*(B44-B43)+E35-C40</f>
        <v>4374</v>
      </c>
      <c r="I44" s="45">
        <f>G44+H44</f>
        <v>4374</v>
      </c>
      <c r="J44" s="61"/>
      <c r="K44" s="59">
        <f>K43+L44-L43</f>
        <v>44783</v>
      </c>
      <c r="L44" s="64">
        <v>40</v>
      </c>
      <c r="M44" s="39"/>
      <c r="N44" s="40"/>
      <c r="O44" s="40"/>
      <c r="P44" s="72">
        <f>IF($O$35-$M$40&gt;0,$M$40,$O$35)</f>
        <v>3240</v>
      </c>
      <c r="Q44" s="71">
        <f>M40-P44</f>
        <v>0</v>
      </c>
      <c r="R44" s="44"/>
      <c r="S44" s="45"/>
      <c r="V44" s="59">
        <f>V43+W44-W43</f>
        <v>44783</v>
      </c>
      <c r="W44" s="64">
        <v>40</v>
      </c>
      <c r="X44" s="39"/>
      <c r="Y44" s="40"/>
      <c r="Z44" s="40"/>
      <c r="AA44" s="72">
        <f>IF($Z$35-$X$40&gt;0,$X$40,$Z$35)</f>
        <v>3240</v>
      </c>
      <c r="AB44" s="71">
        <f>X40-AA44</f>
        <v>0</v>
      </c>
      <c r="AC44" s="44"/>
      <c r="AD44" s="45"/>
    </row>
    <row r="45" spans="1:30" x14ac:dyDescent="0.25">
      <c r="A45" s="59">
        <f>A44+B45-B44</f>
        <v>44799</v>
      </c>
      <c r="B45">
        <f>B44+$D$6</f>
        <v>56</v>
      </c>
      <c r="C45" s="39">
        <v>2</v>
      </c>
      <c r="D45" s="40">
        <f>D44-G44-G43</f>
        <v>90000</v>
      </c>
      <c r="E45" s="40">
        <f>$C$12</f>
        <v>7560</v>
      </c>
      <c r="F45" s="40">
        <f>ROUND(D45*$D$4,2)*$D$6</f>
        <v>7560</v>
      </c>
      <c r="G45" s="41">
        <f>G18</f>
        <v>0</v>
      </c>
      <c r="H45" s="92">
        <f>ROUND(D45*$E$4,2)*(B45-B44)</f>
        <v>6804</v>
      </c>
      <c r="I45" s="45">
        <f>G45+H45</f>
        <v>6804</v>
      </c>
      <c r="J45" s="60"/>
      <c r="K45" s="59">
        <f>K44+L45-L44</f>
        <v>44799</v>
      </c>
      <c r="L45">
        <f>L43+$D$6</f>
        <v>56</v>
      </c>
      <c r="M45" s="39">
        <v>2</v>
      </c>
      <c r="N45" s="40">
        <f>N43-Q43</f>
        <v>90000</v>
      </c>
      <c r="O45" s="40">
        <f>Q45+P45</f>
        <v>4320</v>
      </c>
      <c r="P45" s="40">
        <f>ROUND(N45*$D$4,2)*(L45-L44)+O35-M40</f>
        <v>4320</v>
      </c>
      <c r="Q45" s="41">
        <f>Q18</f>
        <v>0</v>
      </c>
      <c r="R45" s="92">
        <f>ROUND(N45*$E$4,2)*(L45-L44)+O35-M40</f>
        <v>3888</v>
      </c>
      <c r="S45" s="45">
        <f>Q45+R45</f>
        <v>3888</v>
      </c>
      <c r="V45" s="59">
        <f>V44+W45-W44</f>
        <v>44799</v>
      </c>
      <c r="W45">
        <f>W43+$D$6</f>
        <v>56</v>
      </c>
      <c r="X45" s="39">
        <v>2</v>
      </c>
      <c r="Y45" s="40">
        <f>Y43-AB43</f>
        <v>90000</v>
      </c>
      <c r="Z45" s="40">
        <f>AB45+AA45</f>
        <v>4320</v>
      </c>
      <c r="AA45" s="40">
        <f>ROUND(Y45*$D$4,2)*(W45-W44)+Z35-X40</f>
        <v>4320</v>
      </c>
      <c r="AB45" s="41">
        <f>AB18</f>
        <v>0</v>
      </c>
      <c r="AC45" s="92">
        <f>ROUND(Y45*$E$4,2)*(W45-W44)+Z35-X40</f>
        <v>3888</v>
      </c>
      <c r="AD45" s="45">
        <f>AB45+AC45</f>
        <v>3888</v>
      </c>
    </row>
    <row r="46" spans="1:30" x14ac:dyDescent="0.25">
      <c r="A46" s="59">
        <f t="shared" ref="A46:A55" si="24">A45+B46-B45</f>
        <v>44827</v>
      </c>
      <c r="B46">
        <f t="shared" ref="B46:B55" si="25">B45+$D$6</f>
        <v>84</v>
      </c>
      <c r="C46" s="39">
        <v>3</v>
      </c>
      <c r="D46" s="40">
        <f>D45-G45</f>
        <v>90000</v>
      </c>
      <c r="E46" s="40">
        <f>$C$12</f>
        <v>7560</v>
      </c>
      <c r="F46" s="40">
        <f>ROUND(D46*$D$4,2)*$D$6</f>
        <v>7560</v>
      </c>
      <c r="G46" s="41">
        <f>G19</f>
        <v>0</v>
      </c>
      <c r="H46" s="92">
        <f>ROUND(D46*$E$4,2)*(B46-B45)</f>
        <v>6804</v>
      </c>
      <c r="I46" s="45">
        <f>G46+H46</f>
        <v>6804</v>
      </c>
      <c r="J46" s="60"/>
      <c r="K46" s="59">
        <f t="shared" ref="K46:K56" si="26">K45+L46-L45</f>
        <v>44827</v>
      </c>
      <c r="L46">
        <f>L45+$D$6</f>
        <v>84</v>
      </c>
      <c r="M46" s="39">
        <v>3</v>
      </c>
      <c r="N46" s="40">
        <f>N45-Q45</f>
        <v>90000</v>
      </c>
      <c r="O46" s="40">
        <f>$C$12</f>
        <v>7560</v>
      </c>
      <c r="P46" s="40">
        <f>ROUND(N46*$D$4,2)*$D$6</f>
        <v>7560</v>
      </c>
      <c r="Q46" s="41">
        <f>Q19</f>
        <v>0</v>
      </c>
      <c r="R46" s="92">
        <f>ROUND(N46*$E$4,2)*(L46-L45)</f>
        <v>6804</v>
      </c>
      <c r="S46" s="45">
        <f>Q46+R46</f>
        <v>6804</v>
      </c>
      <c r="V46" s="59">
        <f t="shared" ref="V46:V56" si="27">V45+W46-W45</f>
        <v>44827</v>
      </c>
      <c r="W46">
        <f>W45+$D$6</f>
        <v>84</v>
      </c>
      <c r="X46" s="39">
        <v>3</v>
      </c>
      <c r="Y46" s="40">
        <f>Y45-AB45</f>
        <v>90000</v>
      </c>
      <c r="Z46" s="40">
        <f>$C$12</f>
        <v>7560</v>
      </c>
      <c r="AA46" s="40">
        <f>ROUND(Y46*$D$4,2)*$D$6</f>
        <v>7560</v>
      </c>
      <c r="AB46" s="41">
        <f>AB19</f>
        <v>0</v>
      </c>
      <c r="AC46" s="92">
        <f>ROUND(Y46*$E$4,2)*(W46-W45)</f>
        <v>6804</v>
      </c>
      <c r="AD46" s="45">
        <f>AB46+AC46</f>
        <v>6804</v>
      </c>
    </row>
    <row r="47" spans="1:30" x14ac:dyDescent="0.25">
      <c r="A47" s="59">
        <f t="shared" si="24"/>
        <v>44855</v>
      </c>
      <c r="B47">
        <f t="shared" si="25"/>
        <v>112</v>
      </c>
      <c r="C47" s="39">
        <v>4</v>
      </c>
      <c r="D47" s="40">
        <f>D46-G46</f>
        <v>90000</v>
      </c>
      <c r="E47" s="40">
        <f>$C$12</f>
        <v>7560</v>
      </c>
      <c r="F47" s="40">
        <f>ROUND(D47*$D$4,2)*$D$6</f>
        <v>7560</v>
      </c>
      <c r="G47" s="41">
        <f t="shared" ref="G47:G55" si="28">G20</f>
        <v>0</v>
      </c>
      <c r="H47" s="92">
        <f>ROUND(D47*$E$4,2)*(B47-B46)</f>
        <v>6804</v>
      </c>
      <c r="I47" s="45">
        <f>G47+H47</f>
        <v>6804</v>
      </c>
      <c r="J47" s="60"/>
      <c r="K47" s="59">
        <f t="shared" si="26"/>
        <v>44855</v>
      </c>
      <c r="L47">
        <f>L46+$D$6</f>
        <v>112</v>
      </c>
      <c r="M47" s="39">
        <v>4</v>
      </c>
      <c r="N47" s="40">
        <f>N46-Q46</f>
        <v>90000</v>
      </c>
      <c r="O47" s="40">
        <f t="shared" ref="O47:O55" si="29">$C$12</f>
        <v>7560</v>
      </c>
      <c r="P47" s="40">
        <f t="shared" ref="P47:P56" si="30">ROUND(N47*$D$4,2)*$D$6</f>
        <v>7560</v>
      </c>
      <c r="Q47" s="41">
        <f t="shared" ref="Q47:Q55" si="31">Q20</f>
        <v>0</v>
      </c>
      <c r="R47" s="92">
        <f>ROUND(N47*$E$4,2)*(L47-L46)</f>
        <v>6804</v>
      </c>
      <c r="S47" s="45">
        <f>Q47+R47</f>
        <v>6804</v>
      </c>
      <c r="V47" s="59">
        <f t="shared" si="27"/>
        <v>44855</v>
      </c>
      <c r="W47">
        <f>W46+$D$6</f>
        <v>112</v>
      </c>
      <c r="X47" s="39">
        <v>4</v>
      </c>
      <c r="Y47" s="40">
        <f>Y46-AB46</f>
        <v>90000</v>
      </c>
      <c r="Z47" s="40">
        <f t="shared" ref="Z47:Z55" si="32">$C$12</f>
        <v>7560</v>
      </c>
      <c r="AA47" s="40">
        <f t="shared" ref="AA47:AA56" si="33">ROUND(Y47*$D$4,2)*$D$6</f>
        <v>7560</v>
      </c>
      <c r="AB47" s="41">
        <f>AB20</f>
        <v>0</v>
      </c>
      <c r="AC47" s="92">
        <f t="shared" ref="AC47:AC56" si="34">ROUND(Y47*$E$4,2)*(W47-W46)</f>
        <v>6804</v>
      </c>
      <c r="AD47" s="45">
        <f t="shared" ref="AD47:AD56" si="35">AB47+AC47</f>
        <v>6804</v>
      </c>
    </row>
    <row r="48" spans="1:30" x14ac:dyDescent="0.25">
      <c r="A48" s="59">
        <f t="shared" si="24"/>
        <v>44883</v>
      </c>
      <c r="B48">
        <f t="shared" si="25"/>
        <v>140</v>
      </c>
      <c r="C48" s="39">
        <v>5</v>
      </c>
      <c r="D48" s="40">
        <f t="shared" ref="D48:D56" si="36">D47-G47</f>
        <v>90000</v>
      </c>
      <c r="E48" s="40">
        <f t="shared" ref="E48:E55" si="37">$C$12</f>
        <v>7560</v>
      </c>
      <c r="F48" s="40">
        <f t="shared" ref="F48:F55" si="38">ROUND(D48*$D$4,2)*$D$6</f>
        <v>7560</v>
      </c>
      <c r="G48" s="41">
        <f t="shared" si="28"/>
        <v>0</v>
      </c>
      <c r="H48" s="92">
        <f t="shared" ref="H48:H55" si="39">ROUND(D48*$E$4,2)*(B48-B47)</f>
        <v>6804</v>
      </c>
      <c r="I48" s="45">
        <f t="shared" ref="I48:I55" si="40">G48+H48</f>
        <v>6804</v>
      </c>
      <c r="J48" s="60"/>
      <c r="K48" s="59">
        <f t="shared" si="26"/>
        <v>44883</v>
      </c>
      <c r="L48">
        <f t="shared" ref="L48:L56" si="41">L47+$D$6</f>
        <v>140</v>
      </c>
      <c r="M48" s="39">
        <v>5</v>
      </c>
      <c r="N48" s="40">
        <f t="shared" ref="N48:N56" si="42">N47-Q47</f>
        <v>90000</v>
      </c>
      <c r="O48" s="40">
        <f t="shared" si="29"/>
        <v>7560</v>
      </c>
      <c r="P48" s="40">
        <f t="shared" si="30"/>
        <v>7560</v>
      </c>
      <c r="Q48" s="41">
        <f t="shared" si="31"/>
        <v>0</v>
      </c>
      <c r="R48" s="92">
        <f t="shared" ref="R48:R56" si="43">ROUND(N48*$E$4,2)*(L48-L47)</f>
        <v>6804</v>
      </c>
      <c r="S48" s="45">
        <f t="shared" ref="S48:S56" si="44">Q48+R48</f>
        <v>6804</v>
      </c>
      <c r="V48" s="59">
        <f t="shared" si="27"/>
        <v>44883</v>
      </c>
      <c r="W48">
        <f t="shared" ref="W48:W56" si="45">W47+$D$6</f>
        <v>140</v>
      </c>
      <c r="X48" s="39">
        <v>5</v>
      </c>
      <c r="Y48" s="40">
        <f t="shared" ref="Y48:Y55" si="46">Y47-AB47</f>
        <v>90000</v>
      </c>
      <c r="Z48" s="40">
        <f t="shared" si="32"/>
        <v>7560</v>
      </c>
      <c r="AA48" s="40">
        <f t="shared" si="33"/>
        <v>7560</v>
      </c>
      <c r="AB48" s="41">
        <f t="shared" ref="AB48:AB56" si="47">AB21</f>
        <v>0</v>
      </c>
      <c r="AC48" s="92">
        <f t="shared" si="34"/>
        <v>6804</v>
      </c>
      <c r="AD48" s="45">
        <f t="shared" si="35"/>
        <v>6804</v>
      </c>
    </row>
    <row r="49" spans="1:30" x14ac:dyDescent="0.25">
      <c r="A49" s="59">
        <f t="shared" si="24"/>
        <v>44911</v>
      </c>
      <c r="B49">
        <f t="shared" si="25"/>
        <v>168</v>
      </c>
      <c r="C49" s="39">
        <v>6</v>
      </c>
      <c r="D49" s="40">
        <f t="shared" si="36"/>
        <v>90000</v>
      </c>
      <c r="E49" s="40">
        <f t="shared" si="37"/>
        <v>7560</v>
      </c>
      <c r="F49" s="40">
        <f t="shared" si="38"/>
        <v>7560</v>
      </c>
      <c r="G49" s="41">
        <f t="shared" si="28"/>
        <v>0</v>
      </c>
      <c r="H49" s="92">
        <f t="shared" si="39"/>
        <v>6804</v>
      </c>
      <c r="I49" s="45">
        <f t="shared" si="40"/>
        <v>6804</v>
      </c>
      <c r="J49" s="60"/>
      <c r="K49" s="59">
        <f t="shared" si="26"/>
        <v>44911</v>
      </c>
      <c r="L49">
        <f t="shared" si="41"/>
        <v>168</v>
      </c>
      <c r="M49" s="39">
        <v>6</v>
      </c>
      <c r="N49" s="40">
        <f t="shared" si="42"/>
        <v>90000</v>
      </c>
      <c r="O49" s="40">
        <f t="shared" si="29"/>
        <v>7560</v>
      </c>
      <c r="P49" s="40">
        <f t="shared" si="30"/>
        <v>7560</v>
      </c>
      <c r="Q49" s="41">
        <f t="shared" si="31"/>
        <v>0</v>
      </c>
      <c r="R49" s="92">
        <f t="shared" si="43"/>
        <v>6804</v>
      </c>
      <c r="S49" s="45">
        <f t="shared" si="44"/>
        <v>6804</v>
      </c>
      <c r="V49" s="59">
        <f t="shared" si="27"/>
        <v>44911</v>
      </c>
      <c r="W49">
        <f t="shared" si="45"/>
        <v>168</v>
      </c>
      <c r="X49" s="39">
        <v>6</v>
      </c>
      <c r="Y49" s="40">
        <f t="shared" si="46"/>
        <v>90000</v>
      </c>
      <c r="Z49" s="40">
        <f t="shared" si="32"/>
        <v>7560</v>
      </c>
      <c r="AA49" s="40">
        <f t="shared" si="33"/>
        <v>7560</v>
      </c>
      <c r="AB49" s="41">
        <f t="shared" si="47"/>
        <v>0</v>
      </c>
      <c r="AC49" s="92">
        <f t="shared" si="34"/>
        <v>6804</v>
      </c>
      <c r="AD49" s="45">
        <f t="shared" si="35"/>
        <v>6804</v>
      </c>
    </row>
    <row r="50" spans="1:30" x14ac:dyDescent="0.25">
      <c r="A50" s="59">
        <f t="shared" si="24"/>
        <v>44939</v>
      </c>
      <c r="B50">
        <f t="shared" si="25"/>
        <v>196</v>
      </c>
      <c r="C50" s="39">
        <v>7</v>
      </c>
      <c r="D50" s="40">
        <f t="shared" si="36"/>
        <v>90000</v>
      </c>
      <c r="E50" s="40">
        <f t="shared" si="37"/>
        <v>7560</v>
      </c>
      <c r="F50" s="40">
        <f t="shared" si="38"/>
        <v>7560</v>
      </c>
      <c r="G50" s="41">
        <f t="shared" si="28"/>
        <v>0</v>
      </c>
      <c r="H50" s="92">
        <f t="shared" si="39"/>
        <v>6804</v>
      </c>
      <c r="I50" s="45">
        <f t="shared" si="40"/>
        <v>6804</v>
      </c>
      <c r="J50" s="60"/>
      <c r="K50" s="59">
        <f t="shared" si="26"/>
        <v>44939</v>
      </c>
      <c r="L50">
        <f t="shared" si="41"/>
        <v>196</v>
      </c>
      <c r="M50" s="39">
        <v>7</v>
      </c>
      <c r="N50" s="40">
        <f t="shared" si="42"/>
        <v>90000</v>
      </c>
      <c r="O50" s="40">
        <f t="shared" si="29"/>
        <v>7560</v>
      </c>
      <c r="P50" s="40">
        <f t="shared" si="30"/>
        <v>7560</v>
      </c>
      <c r="Q50" s="41">
        <f t="shared" si="31"/>
        <v>0</v>
      </c>
      <c r="R50" s="92">
        <f t="shared" si="43"/>
        <v>6804</v>
      </c>
      <c r="S50" s="45">
        <f t="shared" si="44"/>
        <v>6804</v>
      </c>
      <c r="V50" s="59">
        <f t="shared" si="27"/>
        <v>44939</v>
      </c>
      <c r="W50">
        <f t="shared" si="45"/>
        <v>196</v>
      </c>
      <c r="X50" s="39">
        <v>7</v>
      </c>
      <c r="Y50" s="40">
        <f t="shared" si="46"/>
        <v>90000</v>
      </c>
      <c r="Z50" s="40">
        <f t="shared" si="32"/>
        <v>7560</v>
      </c>
      <c r="AA50" s="40">
        <f t="shared" si="33"/>
        <v>7560</v>
      </c>
      <c r="AB50" s="41">
        <f t="shared" si="47"/>
        <v>0</v>
      </c>
      <c r="AC50" s="92">
        <f t="shared" si="34"/>
        <v>6804</v>
      </c>
      <c r="AD50" s="45">
        <f t="shared" si="35"/>
        <v>6804</v>
      </c>
    </row>
    <row r="51" spans="1:30" x14ac:dyDescent="0.25">
      <c r="A51" s="59">
        <f t="shared" si="24"/>
        <v>44967</v>
      </c>
      <c r="B51">
        <f t="shared" si="25"/>
        <v>224</v>
      </c>
      <c r="C51" s="39">
        <v>8</v>
      </c>
      <c r="D51" s="40">
        <f t="shared" si="36"/>
        <v>90000</v>
      </c>
      <c r="E51" s="40">
        <f t="shared" si="37"/>
        <v>7560</v>
      </c>
      <c r="F51" s="40">
        <f t="shared" si="38"/>
        <v>7560</v>
      </c>
      <c r="G51" s="41">
        <f t="shared" si="28"/>
        <v>0</v>
      </c>
      <c r="H51" s="92">
        <f t="shared" si="39"/>
        <v>6804</v>
      </c>
      <c r="I51" s="45">
        <f t="shared" si="40"/>
        <v>6804</v>
      </c>
      <c r="J51" s="60"/>
      <c r="K51" s="59">
        <f t="shared" si="26"/>
        <v>44967</v>
      </c>
      <c r="L51">
        <f t="shared" si="41"/>
        <v>224</v>
      </c>
      <c r="M51" s="39">
        <v>8</v>
      </c>
      <c r="N51" s="40">
        <f t="shared" si="42"/>
        <v>90000</v>
      </c>
      <c r="O51" s="40">
        <f t="shared" si="29"/>
        <v>7560</v>
      </c>
      <c r="P51" s="40">
        <f t="shared" si="30"/>
        <v>7560</v>
      </c>
      <c r="Q51" s="41">
        <f t="shared" si="31"/>
        <v>0</v>
      </c>
      <c r="R51" s="92">
        <f t="shared" si="43"/>
        <v>6804</v>
      </c>
      <c r="S51" s="45">
        <f t="shared" si="44"/>
        <v>6804</v>
      </c>
      <c r="V51" s="59">
        <f t="shared" si="27"/>
        <v>44967</v>
      </c>
      <c r="W51">
        <f t="shared" si="45"/>
        <v>224</v>
      </c>
      <c r="X51" s="39">
        <v>8</v>
      </c>
      <c r="Y51" s="40">
        <f t="shared" si="46"/>
        <v>90000</v>
      </c>
      <c r="Z51" s="40">
        <f t="shared" si="32"/>
        <v>7560</v>
      </c>
      <c r="AA51" s="40">
        <f t="shared" si="33"/>
        <v>7560</v>
      </c>
      <c r="AB51" s="41">
        <f t="shared" si="47"/>
        <v>0</v>
      </c>
      <c r="AC51" s="92">
        <f t="shared" si="34"/>
        <v>6804</v>
      </c>
      <c r="AD51" s="45">
        <f t="shared" si="35"/>
        <v>6804</v>
      </c>
    </row>
    <row r="52" spans="1:30" x14ac:dyDescent="0.25">
      <c r="A52" s="59">
        <f t="shared" si="24"/>
        <v>44995</v>
      </c>
      <c r="B52">
        <f t="shared" si="25"/>
        <v>252</v>
      </c>
      <c r="C52" s="39">
        <v>9</v>
      </c>
      <c r="D52" s="40">
        <f t="shared" si="36"/>
        <v>90000</v>
      </c>
      <c r="E52" s="40">
        <f t="shared" si="37"/>
        <v>7560</v>
      </c>
      <c r="F52" s="40">
        <f t="shared" si="38"/>
        <v>7560</v>
      </c>
      <c r="G52" s="41">
        <f t="shared" si="28"/>
        <v>0</v>
      </c>
      <c r="H52" s="92">
        <f t="shared" si="39"/>
        <v>6804</v>
      </c>
      <c r="I52" s="45">
        <f t="shared" si="40"/>
        <v>6804</v>
      </c>
      <c r="J52" s="60"/>
      <c r="K52" s="59">
        <f t="shared" si="26"/>
        <v>44995</v>
      </c>
      <c r="L52">
        <f t="shared" si="41"/>
        <v>252</v>
      </c>
      <c r="M52" s="39">
        <v>9</v>
      </c>
      <c r="N52" s="40">
        <f t="shared" si="42"/>
        <v>90000</v>
      </c>
      <c r="O52" s="40">
        <f t="shared" si="29"/>
        <v>7560</v>
      </c>
      <c r="P52" s="40">
        <f t="shared" si="30"/>
        <v>7560</v>
      </c>
      <c r="Q52" s="41">
        <f t="shared" si="31"/>
        <v>0</v>
      </c>
      <c r="R52" s="92">
        <f t="shared" si="43"/>
        <v>6804</v>
      </c>
      <c r="S52" s="45">
        <f t="shared" si="44"/>
        <v>6804</v>
      </c>
      <c r="V52" s="59">
        <f t="shared" si="27"/>
        <v>44995</v>
      </c>
      <c r="W52">
        <f t="shared" si="45"/>
        <v>252</v>
      </c>
      <c r="X52" s="39">
        <v>9</v>
      </c>
      <c r="Y52" s="40">
        <f t="shared" si="46"/>
        <v>90000</v>
      </c>
      <c r="Z52" s="40">
        <f t="shared" si="32"/>
        <v>7560</v>
      </c>
      <c r="AA52" s="40">
        <f t="shared" si="33"/>
        <v>7560</v>
      </c>
      <c r="AB52" s="41">
        <f t="shared" si="47"/>
        <v>0</v>
      </c>
      <c r="AC52" s="92">
        <f t="shared" si="34"/>
        <v>6804</v>
      </c>
      <c r="AD52" s="45">
        <f t="shared" si="35"/>
        <v>6804</v>
      </c>
    </row>
    <row r="53" spans="1:30" x14ac:dyDescent="0.25">
      <c r="A53" s="59">
        <f t="shared" si="24"/>
        <v>45023</v>
      </c>
      <c r="B53">
        <f t="shared" si="25"/>
        <v>280</v>
      </c>
      <c r="C53" s="39">
        <v>10</v>
      </c>
      <c r="D53" s="40">
        <f t="shared" si="36"/>
        <v>90000</v>
      </c>
      <c r="E53" s="40">
        <f t="shared" si="37"/>
        <v>7560</v>
      </c>
      <c r="F53" s="40">
        <f t="shared" si="38"/>
        <v>7560</v>
      </c>
      <c r="G53" s="41">
        <f t="shared" si="28"/>
        <v>0</v>
      </c>
      <c r="H53" s="92">
        <f t="shared" si="39"/>
        <v>6804</v>
      </c>
      <c r="I53" s="45">
        <f t="shared" si="40"/>
        <v>6804</v>
      </c>
      <c r="J53" s="60"/>
      <c r="K53" s="59">
        <f t="shared" si="26"/>
        <v>45023</v>
      </c>
      <c r="L53">
        <f t="shared" si="41"/>
        <v>280</v>
      </c>
      <c r="M53" s="39">
        <v>10</v>
      </c>
      <c r="N53" s="40">
        <f t="shared" si="42"/>
        <v>90000</v>
      </c>
      <c r="O53" s="40">
        <f t="shared" si="29"/>
        <v>7560</v>
      </c>
      <c r="P53" s="40">
        <f t="shared" si="30"/>
        <v>7560</v>
      </c>
      <c r="Q53" s="41">
        <f t="shared" si="31"/>
        <v>0</v>
      </c>
      <c r="R53" s="92">
        <f t="shared" si="43"/>
        <v>6804</v>
      </c>
      <c r="S53" s="45">
        <f t="shared" si="44"/>
        <v>6804</v>
      </c>
      <c r="V53" s="59">
        <f t="shared" si="27"/>
        <v>45023</v>
      </c>
      <c r="W53">
        <f t="shared" si="45"/>
        <v>280</v>
      </c>
      <c r="X53" s="39">
        <v>10</v>
      </c>
      <c r="Y53" s="40">
        <f t="shared" si="46"/>
        <v>90000</v>
      </c>
      <c r="Z53" s="40">
        <f t="shared" si="32"/>
        <v>7560</v>
      </c>
      <c r="AA53" s="40">
        <f t="shared" si="33"/>
        <v>7560</v>
      </c>
      <c r="AB53" s="41">
        <f t="shared" si="47"/>
        <v>0</v>
      </c>
      <c r="AC53" s="92">
        <f t="shared" si="34"/>
        <v>6804</v>
      </c>
      <c r="AD53" s="45">
        <f t="shared" si="35"/>
        <v>6804</v>
      </c>
    </row>
    <row r="54" spans="1:30" x14ac:dyDescent="0.25">
      <c r="A54" s="59">
        <f t="shared" si="24"/>
        <v>45051</v>
      </c>
      <c r="B54">
        <f t="shared" si="25"/>
        <v>308</v>
      </c>
      <c r="C54" s="39">
        <v>11</v>
      </c>
      <c r="D54" s="40">
        <f t="shared" si="36"/>
        <v>90000</v>
      </c>
      <c r="E54" s="40">
        <f t="shared" si="37"/>
        <v>7560</v>
      </c>
      <c r="F54" s="40">
        <f t="shared" si="38"/>
        <v>7560</v>
      </c>
      <c r="G54" s="41">
        <f t="shared" si="28"/>
        <v>0</v>
      </c>
      <c r="H54" s="92">
        <f t="shared" si="39"/>
        <v>6804</v>
      </c>
      <c r="I54" s="45">
        <f t="shared" si="40"/>
        <v>6804</v>
      </c>
      <c r="J54" s="60"/>
      <c r="K54" s="59">
        <f t="shared" si="26"/>
        <v>45051</v>
      </c>
      <c r="L54">
        <f t="shared" si="41"/>
        <v>308</v>
      </c>
      <c r="M54" s="39">
        <v>11</v>
      </c>
      <c r="N54" s="40">
        <f t="shared" si="42"/>
        <v>90000</v>
      </c>
      <c r="O54" s="40">
        <f t="shared" si="29"/>
        <v>7560</v>
      </c>
      <c r="P54" s="40">
        <f t="shared" si="30"/>
        <v>7560</v>
      </c>
      <c r="Q54" s="41">
        <f t="shared" si="31"/>
        <v>0</v>
      </c>
      <c r="R54" s="92">
        <f t="shared" si="43"/>
        <v>6804</v>
      </c>
      <c r="S54" s="45">
        <f t="shared" si="44"/>
        <v>6804</v>
      </c>
      <c r="V54" s="59">
        <f t="shared" si="27"/>
        <v>45051</v>
      </c>
      <c r="W54">
        <f t="shared" si="45"/>
        <v>308</v>
      </c>
      <c r="X54" s="39">
        <v>11</v>
      </c>
      <c r="Y54" s="40">
        <f t="shared" si="46"/>
        <v>90000</v>
      </c>
      <c r="Z54" s="40">
        <f t="shared" si="32"/>
        <v>7560</v>
      </c>
      <c r="AA54" s="40">
        <f t="shared" si="33"/>
        <v>7560</v>
      </c>
      <c r="AB54" s="41">
        <f t="shared" si="47"/>
        <v>0</v>
      </c>
      <c r="AC54" s="92">
        <f t="shared" si="34"/>
        <v>6804</v>
      </c>
      <c r="AD54" s="45">
        <f t="shared" si="35"/>
        <v>6804</v>
      </c>
    </row>
    <row r="55" spans="1:30" x14ac:dyDescent="0.25">
      <c r="A55" s="59">
        <f t="shared" si="24"/>
        <v>45079</v>
      </c>
      <c r="B55">
        <f t="shared" si="25"/>
        <v>336</v>
      </c>
      <c r="C55" s="39">
        <v>12</v>
      </c>
      <c r="D55" s="40">
        <f t="shared" si="36"/>
        <v>90000</v>
      </c>
      <c r="E55" s="40">
        <f t="shared" si="37"/>
        <v>7560</v>
      </c>
      <c r="F55" s="40">
        <f t="shared" si="38"/>
        <v>7560</v>
      </c>
      <c r="G55" s="41">
        <f t="shared" si="28"/>
        <v>0</v>
      </c>
      <c r="H55" s="92">
        <f t="shared" si="39"/>
        <v>6804</v>
      </c>
      <c r="I55" s="45">
        <f t="shared" si="40"/>
        <v>6804</v>
      </c>
      <c r="J55" s="60"/>
      <c r="K55" s="59">
        <f t="shared" si="26"/>
        <v>45079</v>
      </c>
      <c r="L55">
        <f t="shared" si="41"/>
        <v>336</v>
      </c>
      <c r="M55" s="39">
        <v>12</v>
      </c>
      <c r="N55" s="40">
        <f t="shared" si="42"/>
        <v>90000</v>
      </c>
      <c r="O55" s="40">
        <f t="shared" si="29"/>
        <v>7560</v>
      </c>
      <c r="P55" s="40">
        <f t="shared" si="30"/>
        <v>7560</v>
      </c>
      <c r="Q55" s="41">
        <f t="shared" si="31"/>
        <v>0</v>
      </c>
      <c r="R55" s="92">
        <f t="shared" si="43"/>
        <v>6804</v>
      </c>
      <c r="S55" s="45">
        <f t="shared" si="44"/>
        <v>6804</v>
      </c>
      <c r="V55" s="59">
        <f t="shared" si="27"/>
        <v>45079</v>
      </c>
      <c r="W55">
        <f t="shared" si="45"/>
        <v>336</v>
      </c>
      <c r="X55" s="39">
        <v>12</v>
      </c>
      <c r="Y55" s="40">
        <f t="shared" si="46"/>
        <v>90000</v>
      </c>
      <c r="Z55" s="40">
        <f t="shared" si="32"/>
        <v>7560</v>
      </c>
      <c r="AA55" s="40">
        <f t="shared" si="33"/>
        <v>7560</v>
      </c>
      <c r="AB55" s="41">
        <f t="shared" si="47"/>
        <v>0</v>
      </c>
      <c r="AC55" s="92">
        <f t="shared" si="34"/>
        <v>6804</v>
      </c>
      <c r="AD55" s="45">
        <f t="shared" si="35"/>
        <v>6804</v>
      </c>
    </row>
    <row r="56" spans="1:30" x14ac:dyDescent="0.25">
      <c r="A56" s="59">
        <f>A55+B56-B55</f>
        <v>45107</v>
      </c>
      <c r="B56">
        <f>B55+$D$6</f>
        <v>364</v>
      </c>
      <c r="C56" s="39">
        <v>13</v>
      </c>
      <c r="D56" s="40">
        <f t="shared" si="36"/>
        <v>90000</v>
      </c>
      <c r="E56" s="40">
        <v>11638.44</v>
      </c>
      <c r="F56" s="40">
        <f>ROUND(D56*$D$4,2)*$D$6</f>
        <v>7560</v>
      </c>
      <c r="G56" s="41">
        <f>G29</f>
        <v>90000</v>
      </c>
      <c r="H56" s="92">
        <f>ROUND(D56*$E$4,2)*(B56-B55)</f>
        <v>6804</v>
      </c>
      <c r="I56" s="45">
        <f>G56+H56</f>
        <v>96804</v>
      </c>
      <c r="J56" s="60"/>
      <c r="K56" s="59">
        <f t="shared" si="26"/>
        <v>45107</v>
      </c>
      <c r="L56">
        <f t="shared" si="41"/>
        <v>364</v>
      </c>
      <c r="M56" s="39">
        <v>13</v>
      </c>
      <c r="N56" s="40">
        <f t="shared" si="42"/>
        <v>90000</v>
      </c>
      <c r="O56" s="40">
        <f>$D$3-SUM(Q42:Q55)+P56</f>
        <v>97560</v>
      </c>
      <c r="P56" s="40">
        <f t="shared" si="30"/>
        <v>7560</v>
      </c>
      <c r="Q56" s="41">
        <f>Q29</f>
        <v>90000</v>
      </c>
      <c r="R56" s="92">
        <f t="shared" si="43"/>
        <v>6804</v>
      </c>
      <c r="S56" s="45">
        <f t="shared" si="44"/>
        <v>96804</v>
      </c>
      <c r="V56" s="59">
        <f t="shared" si="27"/>
        <v>45107</v>
      </c>
      <c r="W56">
        <f t="shared" si="45"/>
        <v>364</v>
      </c>
      <c r="X56" s="39">
        <v>13</v>
      </c>
      <c r="Y56" s="40">
        <f>Y55-AB55</f>
        <v>90000</v>
      </c>
      <c r="Z56" s="40">
        <f>$D$3-SUM(AB43:AB55)+AA56</f>
        <v>97560</v>
      </c>
      <c r="AA56" s="40">
        <f t="shared" si="33"/>
        <v>7560</v>
      </c>
      <c r="AB56" s="41">
        <f t="shared" si="47"/>
        <v>90000</v>
      </c>
      <c r="AC56" s="92">
        <f t="shared" si="34"/>
        <v>6804</v>
      </c>
      <c r="AD56" s="45">
        <f t="shared" si="35"/>
        <v>96804</v>
      </c>
    </row>
    <row r="57" spans="1:30" ht="15.75" thickBot="1" x14ac:dyDescent="0.3">
      <c r="A57" s="59"/>
      <c r="C57" s="136" t="s">
        <v>20</v>
      </c>
      <c r="D57" s="137"/>
      <c r="E57" s="46">
        <f>SUM(E42:E56)</f>
        <v>99658.44</v>
      </c>
      <c r="F57" s="46">
        <f>SUM(F42:F56)</f>
        <v>98280</v>
      </c>
      <c r="G57" s="47">
        <f>SUM(G42:G56)</f>
        <v>90000</v>
      </c>
      <c r="H57" s="48">
        <f>SUM(H44:H56)</f>
        <v>86022</v>
      </c>
      <c r="I57" s="49">
        <f>SUM(I43:I56)</f>
        <v>176022</v>
      </c>
      <c r="M57" s="143" t="s">
        <v>20</v>
      </c>
      <c r="N57" s="144"/>
      <c r="O57" s="46">
        <f>SUM(O42:O56)</f>
        <v>185040</v>
      </c>
      <c r="P57" s="46">
        <f>SUM(P42:P56)</f>
        <v>98280</v>
      </c>
      <c r="Q57" s="47">
        <f>SUM(Q42:Q56)</f>
        <v>90000</v>
      </c>
      <c r="R57" s="48">
        <f>SUM(R43:R56)</f>
        <v>85536</v>
      </c>
      <c r="S57" s="49">
        <f>SUM(S43:S56)</f>
        <v>175536</v>
      </c>
      <c r="X57" s="65" t="s">
        <v>20</v>
      </c>
      <c r="Y57" s="66"/>
      <c r="Z57" s="46">
        <f>SUM(Z42:Z56)</f>
        <v>185040</v>
      </c>
      <c r="AA57" s="46">
        <f>SUM(AA42:AA56)</f>
        <v>98280</v>
      </c>
      <c r="AB57" s="47">
        <f>SUM(AB42:AB56)</f>
        <v>90000</v>
      </c>
      <c r="AC57" s="48">
        <f>SUM(AC43:AC56)</f>
        <v>79916.399999999994</v>
      </c>
      <c r="AD57" s="49">
        <f>SUM(AD43:AD56)</f>
        <v>169916.4</v>
      </c>
    </row>
    <row r="58" spans="1:30" x14ac:dyDescent="0.25">
      <c r="A58" s="59"/>
      <c r="E58" s="28">
        <f>(F57+G57)/G57</f>
        <v>2.0920000000000001</v>
      </c>
      <c r="F58" s="68">
        <f>F30-F57</f>
        <v>0</v>
      </c>
      <c r="I58" s="29">
        <f>I57/G57</f>
        <v>1.9558</v>
      </c>
      <c r="O58" s="28">
        <f>(P57+Q57)/Q57</f>
        <v>2.0920000000000001</v>
      </c>
      <c r="P58" s="68">
        <f>P30-P57</f>
        <v>0</v>
      </c>
      <c r="S58" s="29">
        <f>S57/Q57</f>
        <v>1.9503999999999999</v>
      </c>
      <c r="Z58" s="28">
        <f>(AA57+AB57)/AB57</f>
        <v>2.0920000000000001</v>
      </c>
      <c r="AA58" s="68">
        <f>AA30-AA57</f>
        <v>0</v>
      </c>
      <c r="AD58" s="29">
        <f>AD57/AB57</f>
        <v>1.8879599999999999</v>
      </c>
    </row>
    <row r="63" spans="1:30" x14ac:dyDescent="0.25">
      <c r="N63" s="68"/>
    </row>
  </sheetData>
  <mergeCells count="5">
    <mergeCell ref="M30:N30"/>
    <mergeCell ref="X30:Y30"/>
    <mergeCell ref="C57:D57"/>
    <mergeCell ref="M57:N57"/>
    <mergeCell ref="C30:D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2ABD-4289-42D6-A013-142F2520560D}">
  <sheetPr>
    <tabColor theme="9" tint="0.39997558519241921"/>
    <pageSetUpPr autoPageBreaks="0"/>
  </sheetPr>
  <dimension ref="A2:AD71"/>
  <sheetViews>
    <sheetView topLeftCell="A37" zoomScale="70" zoomScaleNormal="70" workbookViewId="0">
      <selection activeCell="Z44" sqref="Z44"/>
    </sheetView>
  </sheetViews>
  <sheetFormatPr defaultRowHeight="15" x14ac:dyDescent="0.25"/>
  <cols>
    <col min="1" max="1" width="11.7109375" customWidth="1"/>
    <col min="2" max="2" width="19.140625" customWidth="1"/>
    <col min="3" max="3" width="10.42578125" bestFit="1" customWidth="1"/>
    <col min="4" max="4" width="12.42578125" customWidth="1"/>
    <col min="5" max="5" width="12.7109375" customWidth="1"/>
    <col min="6" max="6" width="12" customWidth="1"/>
    <col min="7" max="7" width="10.5703125" customWidth="1"/>
    <col min="8" max="8" width="11.28515625" customWidth="1"/>
    <col min="9" max="9" width="12.7109375" customWidth="1"/>
    <col min="11" max="11" width="11.7109375" customWidth="1"/>
    <col min="12" max="12" width="13.140625" customWidth="1"/>
    <col min="13" max="13" width="10.7109375" customWidth="1"/>
    <col min="14" max="14" width="10.42578125" bestFit="1" customWidth="1"/>
    <col min="15" max="15" width="12.28515625" customWidth="1"/>
    <col min="16" max="16" width="12.85546875" customWidth="1"/>
    <col min="17" max="17" width="10.85546875" customWidth="1"/>
    <col min="18" max="18" width="10.7109375" customWidth="1"/>
    <col min="19" max="19" width="12.28515625" customWidth="1"/>
    <col min="21" max="21" width="15.140625" customWidth="1"/>
    <col min="22" max="22" width="11.5703125" bestFit="1" customWidth="1"/>
    <col min="23" max="23" width="11.140625" customWidth="1"/>
    <col min="24" max="24" width="12.85546875" customWidth="1"/>
    <col min="25" max="26" width="13" customWidth="1"/>
    <col min="27" max="27" width="11.5703125" customWidth="1"/>
    <col min="28" max="28" width="11.7109375" customWidth="1"/>
    <col min="29" max="29" width="14" customWidth="1"/>
    <col min="30" max="30" width="12" customWidth="1"/>
  </cols>
  <sheetData>
    <row r="2" spans="1:30" x14ac:dyDescent="0.25">
      <c r="B2" s="8" t="s">
        <v>0</v>
      </c>
      <c r="H2" s="60"/>
      <c r="I2" s="60"/>
    </row>
    <row r="3" spans="1:30" x14ac:dyDescent="0.25">
      <c r="B3" t="s">
        <v>1</v>
      </c>
      <c r="D3" s="2">
        <v>90000</v>
      </c>
      <c r="H3" s="60"/>
      <c r="I3" s="84"/>
    </row>
    <row r="4" spans="1:30" ht="30.75" customHeight="1" x14ac:dyDescent="0.25">
      <c r="B4" s="23" t="s">
        <v>83</v>
      </c>
      <c r="D4" s="91">
        <v>3.0000000000000001E-3</v>
      </c>
      <c r="E4" s="91">
        <v>2.7000000000000001E-3</v>
      </c>
      <c r="F4" s="123">
        <f>D4-((D4*C13))</f>
        <v>-2.7E-2</v>
      </c>
      <c r="H4" s="60"/>
      <c r="I4" s="85"/>
    </row>
    <row r="5" spans="1:30" x14ac:dyDescent="0.25">
      <c r="B5" t="s">
        <v>3</v>
      </c>
      <c r="D5">
        <v>13</v>
      </c>
      <c r="H5" s="60"/>
      <c r="I5" s="85"/>
    </row>
    <row r="6" spans="1:30" x14ac:dyDescent="0.25">
      <c r="B6" t="s">
        <v>4</v>
      </c>
      <c r="D6">
        <v>28</v>
      </c>
      <c r="E6">
        <f>D6*D5</f>
        <v>364</v>
      </c>
      <c r="F6">
        <f>((D4*C13))</f>
        <v>0.03</v>
      </c>
    </row>
    <row r="7" spans="1:30" x14ac:dyDescent="0.25">
      <c r="N7" s="18"/>
      <c r="O7" s="18"/>
      <c r="P7" s="18"/>
    </row>
    <row r="8" spans="1:30" x14ac:dyDescent="0.25">
      <c r="N8" s="20"/>
      <c r="P8" s="3"/>
    </row>
    <row r="9" spans="1:30" x14ac:dyDescent="0.25">
      <c r="B9" t="s">
        <v>5</v>
      </c>
    </row>
    <row r="11" spans="1:30" x14ac:dyDescent="0.25">
      <c r="B11" s="5" t="s">
        <v>103</v>
      </c>
      <c r="C11" s="40">
        <f>(D3*D4)*1</f>
        <v>270</v>
      </c>
      <c r="D11" s="4"/>
      <c r="E11" s="4"/>
      <c r="F11" s="3"/>
    </row>
    <row r="12" spans="1:30" x14ac:dyDescent="0.25">
      <c r="B12" t="s">
        <v>102</v>
      </c>
      <c r="C12" s="50">
        <f>$F$17</f>
        <v>7560</v>
      </c>
      <c r="D12" s="5"/>
    </row>
    <row r="13" spans="1:30" x14ac:dyDescent="0.25">
      <c r="B13" t="s">
        <v>9</v>
      </c>
      <c r="C13">
        <v>10</v>
      </c>
      <c r="D13" s="62"/>
    </row>
    <row r="14" spans="1:30" ht="16.5" thickBot="1" x14ac:dyDescent="0.3">
      <c r="D14" s="1" t="s">
        <v>78</v>
      </c>
      <c r="E14" s="8"/>
      <c r="F14" s="8"/>
      <c r="N14" s="1" t="s">
        <v>78</v>
      </c>
      <c r="O14" s="8"/>
      <c r="P14" s="8"/>
      <c r="Y14" s="1" t="s">
        <v>78</v>
      </c>
      <c r="Z14" s="8"/>
      <c r="AA14" s="8"/>
    </row>
    <row r="15" spans="1:30" ht="45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K15" t="s">
        <v>77</v>
      </c>
      <c r="L15" t="s">
        <v>76</v>
      </c>
      <c r="M15" s="9" t="s">
        <v>15</v>
      </c>
      <c r="N15" s="10" t="s">
        <v>16</v>
      </c>
      <c r="O15" s="10" t="s">
        <v>17</v>
      </c>
      <c r="P15" s="10" t="s">
        <v>18</v>
      </c>
      <c r="Q15" s="11" t="s">
        <v>19</v>
      </c>
      <c r="R15" s="24" t="s">
        <v>41</v>
      </c>
      <c r="S15" s="25" t="s">
        <v>42</v>
      </c>
      <c r="V15" t="s">
        <v>77</v>
      </c>
      <c r="W15" t="s">
        <v>76</v>
      </c>
      <c r="X15" s="9" t="s">
        <v>15</v>
      </c>
      <c r="Y15" s="10" t="s">
        <v>16</v>
      </c>
      <c r="Z15" s="10" t="s">
        <v>17</v>
      </c>
      <c r="AA15" s="10" t="s">
        <v>18</v>
      </c>
      <c r="AB15" s="11" t="s">
        <v>19</v>
      </c>
      <c r="AC15" s="24" t="s">
        <v>41</v>
      </c>
      <c r="AD15" s="25" t="s">
        <v>42</v>
      </c>
    </row>
    <row r="16" spans="1:30" x14ac:dyDescent="0.25">
      <c r="A16" s="59">
        <v>44743</v>
      </c>
      <c r="B16">
        <v>0</v>
      </c>
      <c r="C16" s="39">
        <v>0</v>
      </c>
      <c r="E16" s="40"/>
      <c r="F16" s="40"/>
      <c r="G16" s="41"/>
      <c r="H16" s="42"/>
      <c r="I16" s="43"/>
      <c r="K16" s="59">
        <v>44743</v>
      </c>
      <c r="L16">
        <v>0</v>
      </c>
      <c r="M16" s="39">
        <v>0</v>
      </c>
      <c r="O16" s="40"/>
      <c r="P16" s="40"/>
      <c r="Q16" s="41"/>
      <c r="R16" s="42"/>
      <c r="S16" s="43"/>
      <c r="V16" s="59">
        <v>44743</v>
      </c>
      <c r="W16">
        <v>0</v>
      </c>
      <c r="X16" s="39">
        <v>0</v>
      </c>
      <c r="Z16" s="40"/>
      <c r="AA16" s="40"/>
      <c r="AB16" s="41"/>
      <c r="AC16" s="42"/>
      <c r="AD16" s="43"/>
    </row>
    <row r="17" spans="1:30" x14ac:dyDescent="0.25">
      <c r="A17" s="59">
        <f>A16+B17-B16</f>
        <v>44771</v>
      </c>
      <c r="B17">
        <f>B16+$D$6</f>
        <v>28</v>
      </c>
      <c r="C17" s="39">
        <v>1</v>
      </c>
      <c r="D17" s="40">
        <f>$D$3</f>
        <v>90000</v>
      </c>
      <c r="E17" s="40">
        <f>$F$17</f>
        <v>7560</v>
      </c>
      <c r="F17" s="40">
        <f>ROUND(D17*$D$4,2)*$D$6</f>
        <v>7560</v>
      </c>
      <c r="G17" s="41">
        <f>E17-F17</f>
        <v>0</v>
      </c>
      <c r="H17" s="92">
        <f>ROUND(D17*$E$4,2)*$D$6</f>
        <v>6804</v>
      </c>
      <c r="I17" s="45">
        <f>G17+H17</f>
        <v>6804</v>
      </c>
      <c r="K17" s="59">
        <f>K16+L17-L16</f>
        <v>44771</v>
      </c>
      <c r="L17">
        <f>L16+$D$6</f>
        <v>28</v>
      </c>
      <c r="M17" s="39">
        <v>1</v>
      </c>
      <c r="N17" s="40">
        <f>$D$3</f>
        <v>90000</v>
      </c>
      <c r="O17" s="40">
        <f>$F$17</f>
        <v>7560</v>
      </c>
      <c r="P17" s="40">
        <f>ROUND(N17*$D$4,2)*$D$6</f>
        <v>7560</v>
      </c>
      <c r="Q17" s="41">
        <f>O17-P17</f>
        <v>0</v>
      </c>
      <c r="R17" s="92">
        <f>ROUND(N17*$E$4,2)*$D$6</f>
        <v>6804</v>
      </c>
      <c r="S17" s="45">
        <f>Q17+R17</f>
        <v>6804</v>
      </c>
      <c r="V17" s="59">
        <f>V16+W17-W16</f>
        <v>44771</v>
      </c>
      <c r="W17">
        <f>W16+$D$6</f>
        <v>28</v>
      </c>
      <c r="X17" s="39">
        <v>1</v>
      </c>
      <c r="Y17" s="40">
        <f>$D$3</f>
        <v>90000</v>
      </c>
      <c r="Z17" s="40">
        <f>$F$17</f>
        <v>7560</v>
      </c>
      <c r="AA17" s="40">
        <f>ROUND(Y17*$D$4,2)*$D$6</f>
        <v>7560</v>
      </c>
      <c r="AB17" s="41">
        <f>Z17-AA17</f>
        <v>0</v>
      </c>
      <c r="AC17" s="92">
        <f>ROUND(Y17*$E$4,2)*$D$6</f>
        <v>6804</v>
      </c>
      <c r="AD17" s="45">
        <f>AB17+AC17</f>
        <v>6804</v>
      </c>
    </row>
    <row r="18" spans="1:30" x14ac:dyDescent="0.25">
      <c r="A18" s="59">
        <f t="shared" ref="A18:A29" si="0">A17+B18-B17</f>
        <v>44799</v>
      </c>
      <c r="B18">
        <f t="shared" ref="B18:B29" si="1">B17+$D$6</f>
        <v>56</v>
      </c>
      <c r="C18" s="39">
        <v>2</v>
      </c>
      <c r="D18" s="40">
        <f>D17-G17</f>
        <v>90000</v>
      </c>
      <c r="E18" s="40">
        <f t="shared" ref="E18:E28" si="2">$F$17</f>
        <v>7560</v>
      </c>
      <c r="F18" s="40">
        <f>ROUND(D18*$D$4,2)*$D$6</f>
        <v>7560</v>
      </c>
      <c r="G18" s="41">
        <f>E18-F18</f>
        <v>0</v>
      </c>
      <c r="H18" s="92">
        <f>ROUND(D18*$E$4,2)*$D$6</f>
        <v>6804</v>
      </c>
      <c r="I18" s="45">
        <f>G18+H18</f>
        <v>6804</v>
      </c>
      <c r="K18" s="59">
        <f t="shared" ref="K18:K28" si="3">K17+L18-L17</f>
        <v>44799</v>
      </c>
      <c r="L18">
        <f>L17+$D$6</f>
        <v>56</v>
      </c>
      <c r="M18" s="39">
        <v>2</v>
      </c>
      <c r="N18" s="40">
        <f>N17-Q17</f>
        <v>90000</v>
      </c>
      <c r="O18" s="40">
        <f t="shared" ref="O18:O28" si="4">$F$17</f>
        <v>7560</v>
      </c>
      <c r="P18" s="40">
        <f>ROUND(N18*$D$4,2)*$D$6</f>
        <v>7560</v>
      </c>
      <c r="Q18" s="41">
        <f>O18-P18</f>
        <v>0</v>
      </c>
      <c r="R18" s="92">
        <f>ROUND(N18*$E$4,2)*$D$6</f>
        <v>6804</v>
      </c>
      <c r="S18" s="45">
        <f>Q18+R18</f>
        <v>6804</v>
      </c>
      <c r="V18" s="59">
        <f t="shared" ref="V18:V29" si="5">V17+W18-W17</f>
        <v>44799</v>
      </c>
      <c r="W18">
        <f>W17+$D$6</f>
        <v>56</v>
      </c>
      <c r="X18" s="39">
        <v>2</v>
      </c>
      <c r="Y18" s="40">
        <f>Y17-AB17</f>
        <v>90000</v>
      </c>
      <c r="Z18" s="40">
        <f t="shared" ref="Z18:Z28" si="6">$F$17</f>
        <v>7560</v>
      </c>
      <c r="AA18" s="40">
        <f>ROUND(Y18*$D$4,2)*$D$6</f>
        <v>7560</v>
      </c>
      <c r="AB18" s="41">
        <f>Z18-AA18</f>
        <v>0</v>
      </c>
      <c r="AC18" s="92">
        <f>ROUND(Y18*$E$4,2)*$D$6</f>
        <v>6804</v>
      </c>
      <c r="AD18" s="45">
        <f>AB18+AC18</f>
        <v>6804</v>
      </c>
    </row>
    <row r="19" spans="1:30" x14ac:dyDescent="0.25">
      <c r="A19" s="59">
        <f t="shared" si="0"/>
        <v>44827</v>
      </c>
      <c r="B19">
        <f t="shared" si="1"/>
        <v>84</v>
      </c>
      <c r="C19" s="39">
        <v>3</v>
      </c>
      <c r="D19" s="40">
        <f>D18-G18</f>
        <v>90000</v>
      </c>
      <c r="E19" s="40">
        <f t="shared" si="2"/>
        <v>7560</v>
      </c>
      <c r="F19" s="40">
        <f>ROUND(D19*$D$4,2)*$D$6</f>
        <v>7560</v>
      </c>
      <c r="G19" s="41">
        <f>E19-F19</f>
        <v>0</v>
      </c>
      <c r="H19" s="92">
        <f>ROUND(D19*$E$4,2)*$D$6</f>
        <v>6804</v>
      </c>
      <c r="I19" s="45">
        <f>G19+H19</f>
        <v>6804</v>
      </c>
      <c r="K19" s="59">
        <f t="shared" si="3"/>
        <v>44827</v>
      </c>
      <c r="L19">
        <f>L18+$D$6</f>
        <v>84</v>
      </c>
      <c r="M19" s="39">
        <v>3</v>
      </c>
      <c r="N19" s="40">
        <f>N18-Q18</f>
        <v>90000</v>
      </c>
      <c r="O19" s="40">
        <f t="shared" si="4"/>
        <v>7560</v>
      </c>
      <c r="P19" s="40">
        <f>ROUND(N19*$D$4,2)*$D$6</f>
        <v>7560</v>
      </c>
      <c r="Q19" s="41">
        <f>O19-P19</f>
        <v>0</v>
      </c>
      <c r="R19" s="92">
        <f>ROUND(N19*$E$4,2)*$D$6</f>
        <v>6804</v>
      </c>
      <c r="S19" s="45">
        <f>Q19+R19</f>
        <v>6804</v>
      </c>
      <c r="V19" s="59">
        <f t="shared" si="5"/>
        <v>44827</v>
      </c>
      <c r="W19">
        <f>W18+$D$6</f>
        <v>84</v>
      </c>
      <c r="X19" s="39">
        <v>3</v>
      </c>
      <c r="Y19" s="40">
        <f>Y18-AB18</f>
        <v>90000</v>
      </c>
      <c r="Z19" s="40">
        <f t="shared" si="6"/>
        <v>7560</v>
      </c>
      <c r="AA19" s="40">
        <f>ROUND(Y19*$D$4,2)*$D$6</f>
        <v>7560</v>
      </c>
      <c r="AB19" s="41">
        <f>Z19-AA19</f>
        <v>0</v>
      </c>
      <c r="AC19" s="92">
        <f>ROUND(Y19*$E$4,2)*$D$6</f>
        <v>6804</v>
      </c>
      <c r="AD19" s="45">
        <f>AB19+AC19</f>
        <v>6804</v>
      </c>
    </row>
    <row r="20" spans="1:30" x14ac:dyDescent="0.25">
      <c r="A20" s="59">
        <f t="shared" si="0"/>
        <v>44855</v>
      </c>
      <c r="B20">
        <f t="shared" si="1"/>
        <v>112</v>
      </c>
      <c r="C20" s="39">
        <v>4</v>
      </c>
      <c r="D20" s="40">
        <f t="shared" ref="D20:D28" si="7">D19-G19</f>
        <v>90000</v>
      </c>
      <c r="E20" s="40">
        <f t="shared" si="2"/>
        <v>7560</v>
      </c>
      <c r="F20" s="40">
        <f t="shared" ref="F20:F28" si="8">ROUND(D20*$D$4,2)*$D$6</f>
        <v>7560</v>
      </c>
      <c r="G20" s="41">
        <f t="shared" ref="G20:G28" si="9">E20-F20</f>
        <v>0</v>
      </c>
      <c r="H20" s="92">
        <f t="shared" ref="H20:H28" si="10">ROUND(D20*$E$4,2)*$D$6</f>
        <v>6804</v>
      </c>
      <c r="I20" s="45">
        <f t="shared" ref="I20:I28" si="11">G20+H20</f>
        <v>6804</v>
      </c>
      <c r="K20" s="59">
        <f t="shared" si="3"/>
        <v>44855</v>
      </c>
      <c r="L20">
        <f t="shared" ref="L20:L29" si="12">L19+$D$6</f>
        <v>112</v>
      </c>
      <c r="M20" s="39">
        <v>4</v>
      </c>
      <c r="N20" s="40">
        <f t="shared" ref="N20:N28" si="13">N19-Q19</f>
        <v>90000</v>
      </c>
      <c r="O20" s="40">
        <f t="shared" si="4"/>
        <v>7560</v>
      </c>
      <c r="P20" s="40">
        <f t="shared" ref="P20:P28" si="14">ROUND(N20*$D$4,2)*$D$6</f>
        <v>7560</v>
      </c>
      <c r="Q20" s="41">
        <f t="shared" ref="Q20:Q28" si="15">O20-P20</f>
        <v>0</v>
      </c>
      <c r="R20" s="92">
        <f t="shared" ref="R20:R28" si="16">ROUND(N20*$E$4,2)*$D$6</f>
        <v>6804</v>
      </c>
      <c r="S20" s="45">
        <f t="shared" ref="S20:S28" si="17">Q20+R20</f>
        <v>6804</v>
      </c>
      <c r="V20" s="59">
        <f t="shared" si="5"/>
        <v>44855</v>
      </c>
      <c r="W20">
        <f t="shared" ref="W20:W29" si="18">W19+$D$6</f>
        <v>112</v>
      </c>
      <c r="X20" s="39">
        <v>4</v>
      </c>
      <c r="Y20" s="40">
        <f t="shared" ref="Y20:Y28" si="19">Y19-AB19</f>
        <v>90000</v>
      </c>
      <c r="Z20" s="40">
        <f t="shared" si="6"/>
        <v>7560</v>
      </c>
      <c r="AA20" s="40">
        <f t="shared" ref="AA20:AA28" si="20">ROUND(Y20*$D$4,2)*$D$6</f>
        <v>7560</v>
      </c>
      <c r="AB20" s="41">
        <f t="shared" ref="AB20:AB28" si="21">Z20-AA20</f>
        <v>0</v>
      </c>
      <c r="AC20" s="92">
        <f t="shared" ref="AC20:AC28" si="22">ROUND(Y20*$E$4,2)*$D$6</f>
        <v>6804</v>
      </c>
      <c r="AD20" s="45">
        <f t="shared" ref="AD20:AD28" si="23">AB20+AC20</f>
        <v>6804</v>
      </c>
    </row>
    <row r="21" spans="1:30" x14ac:dyDescent="0.25">
      <c r="A21" s="59">
        <f t="shared" si="0"/>
        <v>44883</v>
      </c>
      <c r="B21">
        <f t="shared" si="1"/>
        <v>140</v>
      </c>
      <c r="C21" s="39">
        <v>5</v>
      </c>
      <c r="D21" s="40">
        <f t="shared" si="7"/>
        <v>90000</v>
      </c>
      <c r="E21" s="40">
        <f t="shared" si="2"/>
        <v>7560</v>
      </c>
      <c r="F21" s="40">
        <f t="shared" si="8"/>
        <v>7560</v>
      </c>
      <c r="G21" s="41">
        <f t="shared" si="9"/>
        <v>0</v>
      </c>
      <c r="H21" s="92">
        <f t="shared" si="10"/>
        <v>6804</v>
      </c>
      <c r="I21" s="45">
        <f t="shared" si="11"/>
        <v>6804</v>
      </c>
      <c r="K21" s="59">
        <f t="shared" si="3"/>
        <v>44883</v>
      </c>
      <c r="L21">
        <f t="shared" si="12"/>
        <v>140</v>
      </c>
      <c r="M21" s="39">
        <v>5</v>
      </c>
      <c r="N21" s="40">
        <f t="shared" si="13"/>
        <v>90000</v>
      </c>
      <c r="O21" s="40">
        <f t="shared" si="4"/>
        <v>7560</v>
      </c>
      <c r="P21" s="40">
        <f t="shared" si="14"/>
        <v>7560</v>
      </c>
      <c r="Q21" s="41">
        <f t="shared" si="15"/>
        <v>0</v>
      </c>
      <c r="R21" s="92">
        <f t="shared" si="16"/>
        <v>6804</v>
      </c>
      <c r="S21" s="45">
        <f t="shared" si="17"/>
        <v>6804</v>
      </c>
      <c r="V21" s="59">
        <f t="shared" si="5"/>
        <v>44883</v>
      </c>
      <c r="W21">
        <f t="shared" si="18"/>
        <v>140</v>
      </c>
      <c r="X21" s="39">
        <v>5</v>
      </c>
      <c r="Y21" s="40">
        <f t="shared" si="19"/>
        <v>90000</v>
      </c>
      <c r="Z21" s="40">
        <f t="shared" si="6"/>
        <v>7560</v>
      </c>
      <c r="AA21" s="40">
        <f t="shared" si="20"/>
        <v>7560</v>
      </c>
      <c r="AB21" s="41">
        <f t="shared" si="21"/>
        <v>0</v>
      </c>
      <c r="AC21" s="92">
        <f t="shared" si="22"/>
        <v>6804</v>
      </c>
      <c r="AD21" s="45">
        <f t="shared" si="23"/>
        <v>6804</v>
      </c>
    </row>
    <row r="22" spans="1:30" x14ac:dyDescent="0.25">
      <c r="A22" s="59">
        <f t="shared" si="0"/>
        <v>44911</v>
      </c>
      <c r="B22">
        <f t="shared" si="1"/>
        <v>168</v>
      </c>
      <c r="C22" s="39">
        <v>6</v>
      </c>
      <c r="D22" s="40">
        <f t="shared" si="7"/>
        <v>90000</v>
      </c>
      <c r="E22" s="40">
        <f t="shared" si="2"/>
        <v>7560</v>
      </c>
      <c r="F22" s="40">
        <f t="shared" si="8"/>
        <v>7560</v>
      </c>
      <c r="G22" s="41">
        <f t="shared" si="9"/>
        <v>0</v>
      </c>
      <c r="H22" s="92">
        <f t="shared" si="10"/>
        <v>6804</v>
      </c>
      <c r="I22" s="45">
        <f t="shared" si="11"/>
        <v>6804</v>
      </c>
      <c r="K22" s="59">
        <f t="shared" si="3"/>
        <v>44911</v>
      </c>
      <c r="L22">
        <f t="shared" si="12"/>
        <v>168</v>
      </c>
      <c r="M22" s="39">
        <v>6</v>
      </c>
      <c r="N22" s="40">
        <f t="shared" si="13"/>
        <v>90000</v>
      </c>
      <c r="O22" s="40">
        <f t="shared" si="4"/>
        <v>7560</v>
      </c>
      <c r="P22" s="40">
        <f t="shared" si="14"/>
        <v>7560</v>
      </c>
      <c r="Q22" s="41">
        <f t="shared" si="15"/>
        <v>0</v>
      </c>
      <c r="R22" s="92">
        <f t="shared" si="16"/>
        <v>6804</v>
      </c>
      <c r="S22" s="45">
        <f t="shared" si="17"/>
        <v>6804</v>
      </c>
      <c r="V22" s="59">
        <f t="shared" si="5"/>
        <v>44911</v>
      </c>
      <c r="W22">
        <f t="shared" si="18"/>
        <v>168</v>
      </c>
      <c r="X22" s="39">
        <v>6</v>
      </c>
      <c r="Y22" s="40">
        <f t="shared" si="19"/>
        <v>90000</v>
      </c>
      <c r="Z22" s="40">
        <f t="shared" si="6"/>
        <v>7560</v>
      </c>
      <c r="AA22" s="40">
        <f t="shared" si="20"/>
        <v>7560</v>
      </c>
      <c r="AB22" s="41">
        <f t="shared" si="21"/>
        <v>0</v>
      </c>
      <c r="AC22" s="92">
        <f t="shared" si="22"/>
        <v>6804</v>
      </c>
      <c r="AD22" s="45">
        <f t="shared" si="23"/>
        <v>6804</v>
      </c>
    </row>
    <row r="23" spans="1:30" x14ac:dyDescent="0.25">
      <c r="A23" s="59">
        <f t="shared" si="0"/>
        <v>44939</v>
      </c>
      <c r="B23">
        <f t="shared" si="1"/>
        <v>196</v>
      </c>
      <c r="C23" s="39">
        <v>7</v>
      </c>
      <c r="D23" s="40">
        <f t="shared" si="7"/>
        <v>90000</v>
      </c>
      <c r="E23" s="40">
        <f t="shared" si="2"/>
        <v>7560</v>
      </c>
      <c r="F23" s="40">
        <f t="shared" si="8"/>
        <v>7560</v>
      </c>
      <c r="G23" s="41">
        <f t="shared" si="9"/>
        <v>0</v>
      </c>
      <c r="H23" s="92">
        <f t="shared" si="10"/>
        <v>6804</v>
      </c>
      <c r="I23" s="45">
        <f t="shared" si="11"/>
        <v>6804</v>
      </c>
      <c r="K23" s="59">
        <f t="shared" si="3"/>
        <v>44939</v>
      </c>
      <c r="L23">
        <f t="shared" si="12"/>
        <v>196</v>
      </c>
      <c r="M23" s="39">
        <v>7</v>
      </c>
      <c r="N23" s="40">
        <f t="shared" si="13"/>
        <v>90000</v>
      </c>
      <c r="O23" s="40">
        <f t="shared" si="4"/>
        <v>7560</v>
      </c>
      <c r="P23" s="40">
        <f t="shared" si="14"/>
        <v>7560</v>
      </c>
      <c r="Q23" s="41">
        <f t="shared" si="15"/>
        <v>0</v>
      </c>
      <c r="R23" s="92">
        <f t="shared" si="16"/>
        <v>6804</v>
      </c>
      <c r="S23" s="45">
        <f t="shared" si="17"/>
        <v>6804</v>
      </c>
      <c r="V23" s="59">
        <f t="shared" si="5"/>
        <v>44939</v>
      </c>
      <c r="W23">
        <f t="shared" si="18"/>
        <v>196</v>
      </c>
      <c r="X23" s="39">
        <v>7</v>
      </c>
      <c r="Y23" s="40">
        <f t="shared" si="19"/>
        <v>90000</v>
      </c>
      <c r="Z23" s="40">
        <f t="shared" si="6"/>
        <v>7560</v>
      </c>
      <c r="AA23" s="40">
        <f t="shared" si="20"/>
        <v>7560</v>
      </c>
      <c r="AB23" s="41">
        <f t="shared" si="21"/>
        <v>0</v>
      </c>
      <c r="AC23" s="92">
        <f t="shared" si="22"/>
        <v>6804</v>
      </c>
      <c r="AD23" s="45">
        <f t="shared" si="23"/>
        <v>6804</v>
      </c>
    </row>
    <row r="24" spans="1:30" x14ac:dyDescent="0.25">
      <c r="A24" s="59">
        <f t="shared" si="0"/>
        <v>44967</v>
      </c>
      <c r="B24">
        <f t="shared" si="1"/>
        <v>224</v>
      </c>
      <c r="C24" s="39">
        <v>8</v>
      </c>
      <c r="D24" s="40">
        <f t="shared" si="7"/>
        <v>90000</v>
      </c>
      <c r="E24" s="40">
        <f t="shared" si="2"/>
        <v>7560</v>
      </c>
      <c r="F24" s="40">
        <f t="shared" si="8"/>
        <v>7560</v>
      </c>
      <c r="G24" s="41">
        <f t="shared" si="9"/>
        <v>0</v>
      </c>
      <c r="H24" s="92">
        <f t="shared" si="10"/>
        <v>6804</v>
      </c>
      <c r="I24" s="45">
        <f t="shared" si="11"/>
        <v>6804</v>
      </c>
      <c r="K24" s="59">
        <f t="shared" si="3"/>
        <v>44967</v>
      </c>
      <c r="L24">
        <f t="shared" si="12"/>
        <v>224</v>
      </c>
      <c r="M24" s="39">
        <v>8</v>
      </c>
      <c r="N24" s="40">
        <f t="shared" si="13"/>
        <v>90000</v>
      </c>
      <c r="O24" s="40">
        <f t="shared" si="4"/>
        <v>7560</v>
      </c>
      <c r="P24" s="40">
        <f t="shared" si="14"/>
        <v>7560</v>
      </c>
      <c r="Q24" s="41">
        <f t="shared" si="15"/>
        <v>0</v>
      </c>
      <c r="R24" s="92">
        <f t="shared" si="16"/>
        <v>6804</v>
      </c>
      <c r="S24" s="45">
        <f t="shared" si="17"/>
        <v>6804</v>
      </c>
      <c r="V24" s="59">
        <f t="shared" si="5"/>
        <v>44967</v>
      </c>
      <c r="W24">
        <f t="shared" si="18"/>
        <v>224</v>
      </c>
      <c r="X24" s="39">
        <v>8</v>
      </c>
      <c r="Y24" s="40">
        <f t="shared" si="19"/>
        <v>90000</v>
      </c>
      <c r="Z24" s="40">
        <f t="shared" si="6"/>
        <v>7560</v>
      </c>
      <c r="AA24" s="40">
        <f t="shared" si="20"/>
        <v>7560</v>
      </c>
      <c r="AB24" s="41">
        <f t="shared" si="21"/>
        <v>0</v>
      </c>
      <c r="AC24" s="92">
        <f t="shared" si="22"/>
        <v>6804</v>
      </c>
      <c r="AD24" s="45">
        <f t="shared" si="23"/>
        <v>6804</v>
      </c>
    </row>
    <row r="25" spans="1:30" x14ac:dyDescent="0.25">
      <c r="A25" s="59">
        <f t="shared" si="0"/>
        <v>44995</v>
      </c>
      <c r="B25">
        <f t="shared" si="1"/>
        <v>252</v>
      </c>
      <c r="C25" s="39">
        <v>9</v>
      </c>
      <c r="D25" s="40">
        <f t="shared" si="7"/>
        <v>90000</v>
      </c>
      <c r="E25" s="40">
        <f t="shared" si="2"/>
        <v>7560</v>
      </c>
      <c r="F25" s="40">
        <f t="shared" si="8"/>
        <v>7560</v>
      </c>
      <c r="G25" s="41">
        <f t="shared" si="9"/>
        <v>0</v>
      </c>
      <c r="H25" s="92">
        <f t="shared" si="10"/>
        <v>6804</v>
      </c>
      <c r="I25" s="45">
        <f t="shared" si="11"/>
        <v>6804</v>
      </c>
      <c r="K25" s="59">
        <f t="shared" si="3"/>
        <v>44995</v>
      </c>
      <c r="L25">
        <f t="shared" si="12"/>
        <v>252</v>
      </c>
      <c r="M25" s="39">
        <v>9</v>
      </c>
      <c r="N25" s="40">
        <f t="shared" si="13"/>
        <v>90000</v>
      </c>
      <c r="O25" s="40">
        <f t="shared" si="4"/>
        <v>7560</v>
      </c>
      <c r="P25" s="40">
        <f t="shared" si="14"/>
        <v>7560</v>
      </c>
      <c r="Q25" s="41">
        <f t="shared" si="15"/>
        <v>0</v>
      </c>
      <c r="R25" s="92">
        <f t="shared" si="16"/>
        <v>6804</v>
      </c>
      <c r="S25" s="45">
        <f t="shared" si="17"/>
        <v>6804</v>
      </c>
      <c r="V25" s="59">
        <f t="shared" si="5"/>
        <v>44995</v>
      </c>
      <c r="W25">
        <f t="shared" si="18"/>
        <v>252</v>
      </c>
      <c r="X25" s="39">
        <v>9</v>
      </c>
      <c r="Y25" s="40">
        <f t="shared" si="19"/>
        <v>90000</v>
      </c>
      <c r="Z25" s="40">
        <f t="shared" si="6"/>
        <v>7560</v>
      </c>
      <c r="AA25" s="40">
        <f t="shared" si="20"/>
        <v>7560</v>
      </c>
      <c r="AB25" s="41">
        <f t="shared" si="21"/>
        <v>0</v>
      </c>
      <c r="AC25" s="92">
        <f t="shared" si="22"/>
        <v>6804</v>
      </c>
      <c r="AD25" s="45">
        <f t="shared" si="23"/>
        <v>6804</v>
      </c>
    </row>
    <row r="26" spans="1:30" x14ac:dyDescent="0.25">
      <c r="A26" s="59">
        <f t="shared" si="0"/>
        <v>45023</v>
      </c>
      <c r="B26">
        <f t="shared" si="1"/>
        <v>280</v>
      </c>
      <c r="C26" s="39">
        <v>10</v>
      </c>
      <c r="D26" s="40">
        <f t="shared" si="7"/>
        <v>90000</v>
      </c>
      <c r="E26" s="40">
        <f t="shared" si="2"/>
        <v>7560</v>
      </c>
      <c r="F26" s="40">
        <f t="shared" si="8"/>
        <v>7560</v>
      </c>
      <c r="G26" s="41">
        <f t="shared" si="9"/>
        <v>0</v>
      </c>
      <c r="H26" s="92">
        <f t="shared" si="10"/>
        <v>6804</v>
      </c>
      <c r="I26" s="45">
        <f t="shared" si="11"/>
        <v>6804</v>
      </c>
      <c r="K26" s="59">
        <f t="shared" si="3"/>
        <v>45023</v>
      </c>
      <c r="L26">
        <f t="shared" si="12"/>
        <v>280</v>
      </c>
      <c r="M26" s="39">
        <v>10</v>
      </c>
      <c r="N26" s="40">
        <f t="shared" si="13"/>
        <v>90000</v>
      </c>
      <c r="O26" s="40">
        <f t="shared" si="4"/>
        <v>7560</v>
      </c>
      <c r="P26" s="40">
        <f t="shared" si="14"/>
        <v>7560</v>
      </c>
      <c r="Q26" s="41">
        <f t="shared" si="15"/>
        <v>0</v>
      </c>
      <c r="R26" s="92">
        <f t="shared" si="16"/>
        <v>6804</v>
      </c>
      <c r="S26" s="45">
        <f t="shared" si="17"/>
        <v>6804</v>
      </c>
      <c r="V26" s="59">
        <f t="shared" si="5"/>
        <v>45023</v>
      </c>
      <c r="W26">
        <f t="shared" si="18"/>
        <v>280</v>
      </c>
      <c r="X26" s="39">
        <v>10</v>
      </c>
      <c r="Y26" s="40">
        <f t="shared" si="19"/>
        <v>90000</v>
      </c>
      <c r="Z26" s="40">
        <f t="shared" si="6"/>
        <v>7560</v>
      </c>
      <c r="AA26" s="40">
        <f t="shared" si="20"/>
        <v>7560</v>
      </c>
      <c r="AB26" s="41">
        <f t="shared" si="21"/>
        <v>0</v>
      </c>
      <c r="AC26" s="92">
        <f t="shared" si="22"/>
        <v>6804</v>
      </c>
      <c r="AD26" s="45">
        <f t="shared" si="23"/>
        <v>6804</v>
      </c>
    </row>
    <row r="27" spans="1:30" x14ac:dyDescent="0.25">
      <c r="A27" s="59">
        <f t="shared" si="0"/>
        <v>45051</v>
      </c>
      <c r="B27">
        <f t="shared" si="1"/>
        <v>308</v>
      </c>
      <c r="C27" s="39">
        <v>11</v>
      </c>
      <c r="D27" s="40">
        <f t="shared" si="7"/>
        <v>90000</v>
      </c>
      <c r="E27" s="40">
        <f>$F$17</f>
        <v>7560</v>
      </c>
      <c r="F27" s="40">
        <f t="shared" si="8"/>
        <v>7560</v>
      </c>
      <c r="G27" s="41">
        <f t="shared" si="9"/>
        <v>0</v>
      </c>
      <c r="H27" s="92">
        <f t="shared" si="10"/>
        <v>6804</v>
      </c>
      <c r="I27" s="45">
        <f t="shared" si="11"/>
        <v>6804</v>
      </c>
      <c r="K27" s="59">
        <f t="shared" si="3"/>
        <v>45051</v>
      </c>
      <c r="L27">
        <f t="shared" si="12"/>
        <v>308</v>
      </c>
      <c r="M27" s="39">
        <v>11</v>
      </c>
      <c r="N27" s="40">
        <f t="shared" si="13"/>
        <v>90000</v>
      </c>
      <c r="O27" s="40">
        <f>$F$17</f>
        <v>7560</v>
      </c>
      <c r="P27" s="40">
        <f t="shared" si="14"/>
        <v>7560</v>
      </c>
      <c r="Q27" s="41">
        <f t="shared" si="15"/>
        <v>0</v>
      </c>
      <c r="R27" s="92">
        <f t="shared" si="16"/>
        <v>6804</v>
      </c>
      <c r="S27" s="45">
        <f t="shared" si="17"/>
        <v>6804</v>
      </c>
      <c r="V27" s="59">
        <f t="shared" si="5"/>
        <v>45051</v>
      </c>
      <c r="W27">
        <f t="shared" si="18"/>
        <v>308</v>
      </c>
      <c r="X27" s="39">
        <v>11</v>
      </c>
      <c r="Y27" s="40">
        <f t="shared" si="19"/>
        <v>90000</v>
      </c>
      <c r="Z27" s="40">
        <f>$F$17</f>
        <v>7560</v>
      </c>
      <c r="AA27" s="40">
        <f t="shared" si="20"/>
        <v>7560</v>
      </c>
      <c r="AB27" s="41">
        <f t="shared" si="21"/>
        <v>0</v>
      </c>
      <c r="AC27" s="92">
        <f t="shared" si="22"/>
        <v>6804</v>
      </c>
      <c r="AD27" s="45">
        <f t="shared" si="23"/>
        <v>6804</v>
      </c>
    </row>
    <row r="28" spans="1:30" x14ac:dyDescent="0.25">
      <c r="A28" s="59">
        <f t="shared" si="0"/>
        <v>45079</v>
      </c>
      <c r="B28">
        <f t="shared" si="1"/>
        <v>336</v>
      </c>
      <c r="C28" s="39">
        <v>12</v>
      </c>
      <c r="D28" s="40">
        <f t="shared" si="7"/>
        <v>90000</v>
      </c>
      <c r="E28" s="40">
        <f t="shared" si="2"/>
        <v>7560</v>
      </c>
      <c r="F28" s="40">
        <f t="shared" si="8"/>
        <v>7560</v>
      </c>
      <c r="G28" s="41">
        <f t="shared" si="9"/>
        <v>0</v>
      </c>
      <c r="H28" s="92">
        <f t="shared" si="10"/>
        <v>6804</v>
      </c>
      <c r="I28" s="45">
        <f t="shared" si="11"/>
        <v>6804</v>
      </c>
      <c r="K28" s="59">
        <f t="shared" si="3"/>
        <v>45079</v>
      </c>
      <c r="L28">
        <f t="shared" si="12"/>
        <v>336</v>
      </c>
      <c r="M28" s="39">
        <v>12</v>
      </c>
      <c r="N28" s="40">
        <f t="shared" si="13"/>
        <v>90000</v>
      </c>
      <c r="O28" s="40">
        <f t="shared" si="4"/>
        <v>7560</v>
      </c>
      <c r="P28" s="40">
        <f t="shared" si="14"/>
        <v>7560</v>
      </c>
      <c r="Q28" s="41">
        <f t="shared" si="15"/>
        <v>0</v>
      </c>
      <c r="R28" s="92">
        <f t="shared" si="16"/>
        <v>6804</v>
      </c>
      <c r="S28" s="45">
        <f t="shared" si="17"/>
        <v>6804</v>
      </c>
      <c r="V28" s="59">
        <f t="shared" si="5"/>
        <v>45079</v>
      </c>
      <c r="W28">
        <f t="shared" si="18"/>
        <v>336</v>
      </c>
      <c r="X28" s="39">
        <v>12</v>
      </c>
      <c r="Y28" s="40">
        <f t="shared" si="19"/>
        <v>90000</v>
      </c>
      <c r="Z28" s="40">
        <f t="shared" si="6"/>
        <v>7560</v>
      </c>
      <c r="AA28" s="40">
        <f t="shared" si="20"/>
        <v>7560</v>
      </c>
      <c r="AB28" s="41">
        <f t="shared" si="21"/>
        <v>0</v>
      </c>
      <c r="AC28" s="92">
        <f t="shared" si="22"/>
        <v>6804</v>
      </c>
      <c r="AD28" s="45">
        <f t="shared" si="23"/>
        <v>6804</v>
      </c>
    </row>
    <row r="29" spans="1:30" x14ac:dyDescent="0.25">
      <c r="A29" s="59">
        <f t="shared" si="0"/>
        <v>45107</v>
      </c>
      <c r="B29">
        <f t="shared" si="1"/>
        <v>364</v>
      </c>
      <c r="C29" s="39">
        <v>13</v>
      </c>
      <c r="D29" s="40">
        <f>D28-G28</f>
        <v>90000</v>
      </c>
      <c r="E29" s="40">
        <f>$F$17+D29</f>
        <v>97560</v>
      </c>
      <c r="F29" s="40">
        <f>ROUND(D29*$D$4,2)*$D$6</f>
        <v>7560</v>
      </c>
      <c r="G29" s="41">
        <f>E29-F29</f>
        <v>90000</v>
      </c>
      <c r="H29" s="92">
        <f>ROUND(D29*$E$4,2)*$D$6</f>
        <v>6804</v>
      </c>
      <c r="I29" s="45">
        <f>G29+H29</f>
        <v>96804</v>
      </c>
      <c r="K29" s="59">
        <f>K19+L29-L19</f>
        <v>45107</v>
      </c>
      <c r="L29">
        <f t="shared" si="12"/>
        <v>364</v>
      </c>
      <c r="M29" s="39">
        <v>13</v>
      </c>
      <c r="N29" s="40">
        <f>N28-Q28</f>
        <v>90000</v>
      </c>
      <c r="O29" s="40">
        <f>$F$17+N29</f>
        <v>97560</v>
      </c>
      <c r="P29" s="40">
        <f>ROUND(N29*$D$4,2)*$D$6</f>
        <v>7560</v>
      </c>
      <c r="Q29" s="41">
        <f>O29-P29</f>
        <v>90000</v>
      </c>
      <c r="R29" s="92">
        <f>ROUND(N29*$E$4,2)*$D$6</f>
        <v>6804</v>
      </c>
      <c r="S29" s="45">
        <f>Q29+R29</f>
        <v>96804</v>
      </c>
      <c r="V29" s="59">
        <f t="shared" si="5"/>
        <v>45107</v>
      </c>
      <c r="W29">
        <f t="shared" si="18"/>
        <v>364</v>
      </c>
      <c r="X29" s="39">
        <v>13</v>
      </c>
      <c r="Y29" s="40">
        <f>Y28-AB28</f>
        <v>90000</v>
      </c>
      <c r="Z29" s="40">
        <f>$F$17+Y29</f>
        <v>97560</v>
      </c>
      <c r="AA29" s="40">
        <f>ROUND(Y29*$D$4,2)*$D$6</f>
        <v>7560</v>
      </c>
      <c r="AB29" s="41">
        <f>Z29-AA29</f>
        <v>90000</v>
      </c>
      <c r="AC29" s="92">
        <f>ROUND(Y29*$E$4,2)*$D$6</f>
        <v>6804</v>
      </c>
      <c r="AD29" s="45">
        <f>AB29+AC29</f>
        <v>96804</v>
      </c>
    </row>
    <row r="30" spans="1:30" ht="15.75" thickBot="1" x14ac:dyDescent="0.3">
      <c r="C30" s="136" t="s">
        <v>20</v>
      </c>
      <c r="D30" s="137"/>
      <c r="E30" s="122">
        <f>SUM(E16:E29)</f>
        <v>188280</v>
      </c>
      <c r="F30" s="122">
        <f>SUM(F16:F29)</f>
        <v>98280</v>
      </c>
      <c r="G30" s="47">
        <f>SUM(G16:G29)</f>
        <v>90000</v>
      </c>
      <c r="H30" s="48">
        <f>SUM(H17:H29)</f>
        <v>88452</v>
      </c>
      <c r="I30" s="49">
        <f>G30+H30</f>
        <v>178452</v>
      </c>
      <c r="K30" s="59"/>
      <c r="M30" s="136" t="s">
        <v>20</v>
      </c>
      <c r="N30" s="137"/>
      <c r="O30" s="122">
        <f>SUM(O16:O29)</f>
        <v>188280</v>
      </c>
      <c r="P30" s="122">
        <f>SUM(P16:P29)</f>
        <v>98280</v>
      </c>
      <c r="Q30" s="47">
        <f>SUM(Q16:Q29)</f>
        <v>90000</v>
      </c>
      <c r="R30" s="48">
        <f>SUM(R17:R29)</f>
        <v>88452</v>
      </c>
      <c r="S30" s="49">
        <f>Q30+R30</f>
        <v>178452</v>
      </c>
      <c r="V30" s="59"/>
      <c r="X30" s="136" t="s">
        <v>20</v>
      </c>
      <c r="Y30" s="137"/>
      <c r="Z30" s="122">
        <f>SUM(Z16:Z29)</f>
        <v>188280</v>
      </c>
      <c r="AA30" s="122">
        <f>SUM(AA16:AA29)</f>
        <v>98280</v>
      </c>
      <c r="AB30" s="47">
        <f>SUM(AB16:AB29)</f>
        <v>90000</v>
      </c>
      <c r="AC30" s="48">
        <f>SUM(AC17:AC29)</f>
        <v>88452</v>
      </c>
      <c r="AD30" s="49">
        <f>AB30+AC30</f>
        <v>178452</v>
      </c>
    </row>
    <row r="31" spans="1:30" x14ac:dyDescent="0.25">
      <c r="E31" s="28">
        <f>E30/G30</f>
        <v>2.0920000000000001</v>
      </c>
      <c r="I31" s="29">
        <f>I30/G30</f>
        <v>1.9827999999999999</v>
      </c>
      <c r="K31" s="59"/>
      <c r="O31" s="28">
        <f>O30/Q30</f>
        <v>2.0920000000000001</v>
      </c>
      <c r="S31" s="29">
        <f>S30/Q30</f>
        <v>1.9827999999999999</v>
      </c>
      <c r="V31" s="59"/>
      <c r="Z31" s="28">
        <f>Z30/AB30</f>
        <v>2.0920000000000001</v>
      </c>
      <c r="AD31" s="29">
        <f>AD30/AB30</f>
        <v>1.9827999999999999</v>
      </c>
    </row>
    <row r="32" spans="1:30" ht="15.75" thickBot="1" x14ac:dyDescent="0.3"/>
    <row r="33" spans="1:29" ht="105" x14ac:dyDescent="0.25">
      <c r="B33" s="63" t="s">
        <v>43</v>
      </c>
      <c r="C33" s="9" t="s">
        <v>45</v>
      </c>
      <c r="D33" s="10" t="s">
        <v>65</v>
      </c>
      <c r="E33" s="10" t="s">
        <v>96</v>
      </c>
      <c r="F33" s="10" t="s">
        <v>47</v>
      </c>
      <c r="G33" s="10" t="s">
        <v>48</v>
      </c>
      <c r="H33" s="10" t="s">
        <v>69</v>
      </c>
      <c r="I33" s="11" t="s">
        <v>49</v>
      </c>
      <c r="L33" s="67" t="s">
        <v>94</v>
      </c>
      <c r="M33" s="9" t="s">
        <v>45</v>
      </c>
      <c r="N33" s="10" t="s">
        <v>65</v>
      </c>
      <c r="O33" s="10" t="s">
        <v>95</v>
      </c>
      <c r="P33" s="10" t="s">
        <v>47</v>
      </c>
      <c r="Q33" s="10" t="s">
        <v>48</v>
      </c>
      <c r="R33" s="10" t="s">
        <v>69</v>
      </c>
      <c r="S33" s="11" t="s">
        <v>49</v>
      </c>
      <c r="V33" s="67" t="s">
        <v>94</v>
      </c>
      <c r="W33" s="9" t="s">
        <v>45</v>
      </c>
      <c r="X33" s="10" t="s">
        <v>65</v>
      </c>
      <c r="Y33" s="10" t="s">
        <v>95</v>
      </c>
      <c r="Z33" s="10" t="s">
        <v>47</v>
      </c>
      <c r="AA33" s="10" t="s">
        <v>48</v>
      </c>
      <c r="AB33" s="10" t="s">
        <v>69</v>
      </c>
      <c r="AC33" s="11" t="s">
        <v>49</v>
      </c>
    </row>
    <row r="34" spans="1:29" ht="15.75" thickBot="1" x14ac:dyDescent="0.3">
      <c r="C34" s="56">
        <f>D17</f>
        <v>90000</v>
      </c>
      <c r="D34" s="57">
        <f>F17+G17</f>
        <v>7560</v>
      </c>
      <c r="E34" s="57">
        <f>ROUND(C34*$D$4,2)*10</f>
        <v>2700</v>
      </c>
      <c r="F34" s="57">
        <f>G17</f>
        <v>0</v>
      </c>
      <c r="G34" s="44">
        <f>ROUND(C34*$E$4,2)*10</f>
        <v>2430</v>
      </c>
      <c r="H34" s="57">
        <f>C34+G34</f>
        <v>92430</v>
      </c>
      <c r="I34" s="30">
        <f>C34+E34</f>
        <v>92700</v>
      </c>
      <c r="M34" s="56">
        <f>N18</f>
        <v>90000</v>
      </c>
      <c r="N34" s="57">
        <f>P17+Q17</f>
        <v>7560</v>
      </c>
      <c r="O34" s="57">
        <f>ROUND(M34*$D$4,2)*(L43-L42)</f>
        <v>3240</v>
      </c>
      <c r="P34" s="57">
        <f>Q18</f>
        <v>0</v>
      </c>
      <c r="Q34" s="44">
        <f>ROUND($M$34*$E$4,2)*(L43-L42)</f>
        <v>2916</v>
      </c>
      <c r="R34" s="57">
        <f>M34+Q34</f>
        <v>92916</v>
      </c>
      <c r="S34" s="30">
        <f>M34+O34</f>
        <v>93240</v>
      </c>
      <c r="V34" s="78" t="s">
        <v>79</v>
      </c>
      <c r="W34" s="56">
        <f>Y18</f>
        <v>90000</v>
      </c>
      <c r="X34" s="57">
        <f xml:space="preserve"> AB17+AA17</f>
        <v>7560</v>
      </c>
      <c r="Y34" s="57">
        <f>ROUND(W34*$D$4,2)*(V43-V42)</f>
        <v>3240</v>
      </c>
      <c r="Z34" s="57">
        <f>AB18</f>
        <v>0</v>
      </c>
      <c r="AA34" s="44">
        <f>ROUND($M$34*$E$4,2)*(V43-V42)</f>
        <v>2916</v>
      </c>
      <c r="AB34" s="57">
        <f>W34+AA34+Y37</f>
        <v>100476</v>
      </c>
      <c r="AC34" s="83">
        <f>W34+Y34+Y37</f>
        <v>100800</v>
      </c>
    </row>
    <row r="36" spans="1:29" x14ac:dyDescent="0.25">
      <c r="W36" t="s">
        <v>45</v>
      </c>
      <c r="X36" t="s">
        <v>82</v>
      </c>
    </row>
    <row r="37" spans="1:29" ht="15.75" thickBot="1" x14ac:dyDescent="0.3">
      <c r="V37" s="77" t="s">
        <v>80</v>
      </c>
      <c r="W37" s="56">
        <f>AA42</f>
        <v>0</v>
      </c>
      <c r="X37" s="57">
        <f>Z42+ROUND(W37*D4,2)*(V43-V42)</f>
        <v>7560</v>
      </c>
      <c r="Y37" s="79">
        <f>W37+X37</f>
        <v>7560</v>
      </c>
    </row>
    <row r="39" spans="1:29" ht="88.5" customHeight="1" thickBot="1" x14ac:dyDescent="0.3">
      <c r="B39" t="s">
        <v>70</v>
      </c>
      <c r="C39" s="32">
        <v>2000</v>
      </c>
      <c r="E39" t="s">
        <v>115</v>
      </c>
      <c r="L39" t="s">
        <v>70</v>
      </c>
      <c r="M39" s="32">
        <v>3000</v>
      </c>
      <c r="O39" t="s">
        <v>118</v>
      </c>
      <c r="V39" t="s">
        <v>70</v>
      </c>
      <c r="W39" s="80">
        <f>Y39-Y37</f>
        <v>2240</v>
      </c>
      <c r="X39" s="23" t="s">
        <v>120</v>
      </c>
      <c r="Y39" s="81">
        <f>(Y37+Y34)-1000</f>
        <v>9800</v>
      </c>
    </row>
    <row r="40" spans="1:29" ht="45" x14ac:dyDescent="0.25">
      <c r="A40" t="s">
        <v>77</v>
      </c>
      <c r="B40" t="s">
        <v>76</v>
      </c>
      <c r="C40" s="9" t="s">
        <v>15</v>
      </c>
      <c r="D40" s="10" t="s">
        <v>71</v>
      </c>
      <c r="E40" s="10" t="s">
        <v>73</v>
      </c>
      <c r="F40" s="10" t="s">
        <v>72</v>
      </c>
      <c r="G40" s="11" t="s">
        <v>19</v>
      </c>
      <c r="H40" s="24" t="s">
        <v>85</v>
      </c>
      <c r="I40" s="25" t="s">
        <v>86</v>
      </c>
      <c r="K40" t="s">
        <v>77</v>
      </c>
      <c r="L40" t="s">
        <v>76</v>
      </c>
      <c r="M40" s="9" t="s">
        <v>15</v>
      </c>
      <c r="N40" s="10" t="s">
        <v>71</v>
      </c>
      <c r="O40" s="10" t="s">
        <v>73</v>
      </c>
      <c r="P40" s="10" t="s">
        <v>72</v>
      </c>
      <c r="Q40" s="11" t="s">
        <v>19</v>
      </c>
      <c r="R40" s="24" t="s">
        <v>85</v>
      </c>
      <c r="S40" s="25" t="s">
        <v>86</v>
      </c>
      <c r="U40" t="s">
        <v>77</v>
      </c>
      <c r="V40" t="s">
        <v>76</v>
      </c>
      <c r="W40" s="9" t="s">
        <v>15</v>
      </c>
      <c r="X40" s="10" t="s">
        <v>71</v>
      </c>
      <c r="Y40" s="10" t="s">
        <v>73</v>
      </c>
      <c r="Z40" s="10" t="s">
        <v>72</v>
      </c>
      <c r="AA40" s="11" t="s">
        <v>19</v>
      </c>
      <c r="AB40" s="24" t="s">
        <v>85</v>
      </c>
      <c r="AC40" s="25" t="s">
        <v>86</v>
      </c>
    </row>
    <row r="41" spans="1:29" x14ac:dyDescent="0.25">
      <c r="A41" s="59">
        <v>44743</v>
      </c>
      <c r="B41">
        <v>0</v>
      </c>
      <c r="C41" s="39">
        <v>0</v>
      </c>
      <c r="D41" s="40">
        <f>D17</f>
        <v>90000</v>
      </c>
      <c r="E41" s="40"/>
      <c r="F41" s="40"/>
      <c r="G41" s="41"/>
      <c r="H41" s="42"/>
      <c r="I41" s="43"/>
      <c r="K41" s="59">
        <v>44743</v>
      </c>
      <c r="L41">
        <v>0</v>
      </c>
      <c r="M41" s="39">
        <v>0</v>
      </c>
      <c r="O41" s="40"/>
      <c r="P41" s="40"/>
      <c r="R41" s="42"/>
      <c r="S41" s="43"/>
      <c r="U41" s="59">
        <v>44743</v>
      </c>
      <c r="V41">
        <v>0</v>
      </c>
      <c r="W41" s="39">
        <v>0</v>
      </c>
      <c r="Y41" s="40"/>
      <c r="Z41" s="40"/>
      <c r="AB41" s="42"/>
      <c r="AC41" s="43"/>
    </row>
    <row r="42" spans="1:29" x14ac:dyDescent="0.25">
      <c r="A42" s="59">
        <f>A41+B42-B41</f>
        <v>44753</v>
      </c>
      <c r="B42" s="64">
        <v>10</v>
      </c>
      <c r="C42" s="39"/>
      <c r="E42" s="40"/>
      <c r="F42" s="72">
        <f>IF($E$34-$C$39&gt;0,$C$39,$E$34)</f>
        <v>2000</v>
      </c>
      <c r="G42" s="71">
        <f>C39-F42</f>
        <v>0</v>
      </c>
      <c r="H42" s="42"/>
      <c r="I42" s="43"/>
      <c r="J42" s="61"/>
      <c r="K42" s="59">
        <f>K41+L42-L41</f>
        <v>44771</v>
      </c>
      <c r="L42">
        <v>28</v>
      </c>
      <c r="M42" s="39">
        <v>1</v>
      </c>
      <c r="N42" s="53">
        <f>N17</f>
        <v>90000</v>
      </c>
      <c r="O42" s="53">
        <f>P42+Q42</f>
        <v>6804</v>
      </c>
      <c r="P42" s="53">
        <f>ROUND(N42*$E$4,2)*$D$6</f>
        <v>6804</v>
      </c>
      <c r="Q42" s="118">
        <f>Q17</f>
        <v>0</v>
      </c>
      <c r="R42" s="92">
        <f>ROUND(N42*$E$4,2)*(L42-L41)</f>
        <v>6804</v>
      </c>
      <c r="S42" s="117">
        <f>Q42+R42</f>
        <v>6804</v>
      </c>
      <c r="U42" s="59">
        <f>U41+V42-V41</f>
        <v>44771</v>
      </c>
      <c r="V42">
        <f>V41+$D$6</f>
        <v>28</v>
      </c>
      <c r="W42" s="39">
        <v>1</v>
      </c>
      <c r="X42" s="74">
        <f xml:space="preserve"> Y17</f>
        <v>90000</v>
      </c>
      <c r="Y42" s="74">
        <f>Z42+AA42</f>
        <v>7560</v>
      </c>
      <c r="Z42" s="74">
        <f>ROUND(X42*$D$4,2)*$D$6</f>
        <v>7560</v>
      </c>
      <c r="AA42" s="82">
        <f>AB17</f>
        <v>0</v>
      </c>
      <c r="AB42" s="87">
        <f>AC17</f>
        <v>6804</v>
      </c>
      <c r="AC42" s="88">
        <f>AA42+AB42</f>
        <v>6804</v>
      </c>
    </row>
    <row r="43" spans="1:29" x14ac:dyDescent="0.25">
      <c r="A43" s="59">
        <f>A42+B43-B42</f>
        <v>44771</v>
      </c>
      <c r="B43" s="60">
        <f>B41+$D$6</f>
        <v>28</v>
      </c>
      <c r="C43" s="39">
        <v>1</v>
      </c>
      <c r="D43" s="40">
        <f>D41-G41-G42</f>
        <v>90000</v>
      </c>
      <c r="E43" s="40">
        <f>$F43</f>
        <v>5560</v>
      </c>
      <c r="F43" s="40">
        <f>ROUND(D43*$D$4,2)*(B43-B42)+E34-C39</f>
        <v>5560</v>
      </c>
      <c r="G43" s="41">
        <f>E43-F43</f>
        <v>0</v>
      </c>
      <c r="H43" s="92">
        <f>ROUND(D43*$E$4,2)*(B43-B42)+E34-C39</f>
        <v>5074</v>
      </c>
      <c r="I43" s="43">
        <f>G43+H43</f>
        <v>5074</v>
      </c>
      <c r="J43" s="61"/>
      <c r="K43" s="59">
        <f>K42+L43-L42</f>
        <v>44783</v>
      </c>
      <c r="L43" s="64">
        <v>40</v>
      </c>
      <c r="M43" s="39"/>
      <c r="P43" s="72">
        <f>IF($O$34-$M$39&gt;0,$M$39,$O$34)</f>
        <v>3000</v>
      </c>
      <c r="Q43" s="72">
        <f>M39-P43</f>
        <v>0</v>
      </c>
      <c r="R43" s="44"/>
      <c r="S43" s="45"/>
      <c r="U43" s="59">
        <f>U42+V43-V42</f>
        <v>44783</v>
      </c>
      <c r="V43" s="64">
        <v>40</v>
      </c>
      <c r="W43" s="39"/>
      <c r="Z43" s="72">
        <f>IF($Y$34-$W$39&gt;0,$W$39,$Y$34)</f>
        <v>2240</v>
      </c>
      <c r="AA43" s="72">
        <f>W39-Z43</f>
        <v>0</v>
      </c>
      <c r="AB43" s="44"/>
      <c r="AC43" s="45"/>
    </row>
    <row r="44" spans="1:29" x14ac:dyDescent="0.25">
      <c r="A44" s="59">
        <f>A43+B44-B43</f>
        <v>44799</v>
      </c>
      <c r="B44">
        <f>B43+$D$6</f>
        <v>56</v>
      </c>
      <c r="C44" s="39">
        <v>2</v>
      </c>
      <c r="D44" s="40">
        <f>D43-G43</f>
        <v>90000</v>
      </c>
      <c r="E44" s="40">
        <f>$C$12</f>
        <v>7560</v>
      </c>
      <c r="F44" s="40">
        <f>ROUND(D44*$D$4,2)*$D$6</f>
        <v>7560</v>
      </c>
      <c r="G44" s="41">
        <f>G18</f>
        <v>0</v>
      </c>
      <c r="H44" s="92">
        <f>ROUND(D44*$E$4,2)*(B44-B43)</f>
        <v>6804</v>
      </c>
      <c r="I44" s="45">
        <f>G44+H44</f>
        <v>6804</v>
      </c>
      <c r="J44" s="60"/>
      <c r="K44" s="59">
        <f>K43+L44-L43</f>
        <v>44799</v>
      </c>
      <c r="L44">
        <f>L42+$D$6</f>
        <v>56</v>
      </c>
      <c r="M44" s="39">
        <v>2</v>
      </c>
      <c r="N44" s="40">
        <f>N42-Q42-Q43</f>
        <v>90000</v>
      </c>
      <c r="O44" s="40">
        <f>$P44</f>
        <v>4560</v>
      </c>
      <c r="P44" s="40">
        <f>ROUND(N44*$D$4,2)*(L44-L43)+O34-M39</f>
        <v>4560</v>
      </c>
      <c r="Q44" s="41">
        <f>O44-P44</f>
        <v>0</v>
      </c>
      <c r="R44" s="92">
        <f>ROUND(N44*$E$4,2)*(L44-L43)+O34-M39</f>
        <v>4128</v>
      </c>
      <c r="S44" s="43">
        <f>Q44+R44</f>
        <v>4128</v>
      </c>
      <c r="U44" s="59">
        <f>U43+V44-V43</f>
        <v>44799</v>
      </c>
      <c r="V44">
        <f>V42+$D$6</f>
        <v>56</v>
      </c>
      <c r="W44" s="39">
        <v>2</v>
      </c>
      <c r="X44" s="40">
        <f>X42-AA42-AA43</f>
        <v>90000</v>
      </c>
      <c r="Y44" s="40">
        <f>$Z44</f>
        <v>5320</v>
      </c>
      <c r="Z44" s="40">
        <f>ROUND(X44*$D$4,2)*(V44-V43)+Y34-W39</f>
        <v>5320</v>
      </c>
      <c r="AA44" s="41">
        <f>Y44-Z44</f>
        <v>0</v>
      </c>
      <c r="AB44" s="92">
        <f>ROUND(X44*$E$4,2)*(V44-V43)</f>
        <v>3888</v>
      </c>
      <c r="AC44" s="43">
        <f>AA44+AB44</f>
        <v>3888</v>
      </c>
    </row>
    <row r="45" spans="1:29" x14ac:dyDescent="0.25">
      <c r="A45" s="59">
        <f t="shared" ref="A45:A54" si="24">A44+B45-B44</f>
        <v>44827</v>
      </c>
      <c r="B45">
        <f t="shared" ref="B45:B54" si="25">B44+$D$6</f>
        <v>84</v>
      </c>
      <c r="C45" s="39">
        <v>3</v>
      </c>
      <c r="D45" s="40">
        <f t="shared" ref="D45:D54" si="26">D44-G44</f>
        <v>90000</v>
      </c>
      <c r="E45" s="40">
        <f>$C$12</f>
        <v>7560</v>
      </c>
      <c r="F45" s="40">
        <f t="shared" ref="F45:F54" si="27">ROUND(D45*$D$4,2)*$D$6</f>
        <v>7560</v>
      </c>
      <c r="G45" s="41">
        <f>G19</f>
        <v>0</v>
      </c>
      <c r="H45" s="92">
        <f t="shared" ref="H45:H54" si="28">ROUND(D45*$E$4,2)*(B45-B44)</f>
        <v>6804</v>
      </c>
      <c r="I45" s="45">
        <f t="shared" ref="I45:I54" si="29">G45+H45</f>
        <v>6804</v>
      </c>
      <c r="J45" s="60"/>
      <c r="K45" s="59">
        <f t="shared" ref="K45:K55" si="30">K44+L45-L44</f>
        <v>44827</v>
      </c>
      <c r="L45">
        <f>L44+$D$6</f>
        <v>84</v>
      </c>
      <c r="M45" s="39">
        <v>3</v>
      </c>
      <c r="N45" s="40">
        <f>N44-Q44</f>
        <v>90000</v>
      </c>
      <c r="O45" s="40">
        <f>$C$12</f>
        <v>7560</v>
      </c>
      <c r="P45" s="40">
        <f>ROUND(N45*$D$4,2)*$D$6</f>
        <v>7560</v>
      </c>
      <c r="Q45" s="69">
        <f>Q19</f>
        <v>0</v>
      </c>
      <c r="R45" s="92">
        <f>ROUND(N45*$E$4,2)*(L45-L44)</f>
        <v>6804</v>
      </c>
      <c r="S45" s="43">
        <f>Q45+R45</f>
        <v>6804</v>
      </c>
      <c r="U45" s="59">
        <f t="shared" ref="U45:U55" si="31">U44+V45-V44</f>
        <v>44827</v>
      </c>
      <c r="V45">
        <f>V44+$D$6</f>
        <v>84</v>
      </c>
      <c r="W45" s="39">
        <v>3</v>
      </c>
      <c r="X45" s="40">
        <f>X44-AA44</f>
        <v>90000</v>
      </c>
      <c r="Y45" s="40">
        <f>$C$12</f>
        <v>7560</v>
      </c>
      <c r="Z45" s="40">
        <f>ROUND(X45*$D$4,2)*$D$6</f>
        <v>7560</v>
      </c>
      <c r="AA45" s="69">
        <f xml:space="preserve"> AB19</f>
        <v>0</v>
      </c>
      <c r="AB45" s="92">
        <f>ROUND(X45*$E$4,2)*(V45-V44)</f>
        <v>6804</v>
      </c>
      <c r="AC45" s="43">
        <f>AA45+AB45</f>
        <v>6804</v>
      </c>
    </row>
    <row r="46" spans="1:29" x14ac:dyDescent="0.25">
      <c r="A46" s="59">
        <f t="shared" si="24"/>
        <v>44855</v>
      </c>
      <c r="B46">
        <f t="shared" si="25"/>
        <v>112</v>
      </c>
      <c r="C46" s="39">
        <v>4</v>
      </c>
      <c r="D46" s="40">
        <f t="shared" si="26"/>
        <v>90000</v>
      </c>
      <c r="E46" s="40">
        <f t="shared" ref="E46:E54" si="32">$C$12</f>
        <v>7560</v>
      </c>
      <c r="F46" s="40">
        <f t="shared" si="27"/>
        <v>7560</v>
      </c>
      <c r="G46" s="41">
        <f t="shared" ref="G46:G54" si="33">G20</f>
        <v>0</v>
      </c>
      <c r="H46" s="92">
        <f t="shared" si="28"/>
        <v>6804</v>
      </c>
      <c r="I46" s="45">
        <f t="shared" si="29"/>
        <v>6804</v>
      </c>
      <c r="J46" s="60"/>
      <c r="K46" s="59">
        <f t="shared" si="30"/>
        <v>44855</v>
      </c>
      <c r="L46">
        <f>L45+$D$6</f>
        <v>112</v>
      </c>
      <c r="M46" s="39">
        <v>4</v>
      </c>
      <c r="N46" s="40">
        <f t="shared" ref="N46:N55" si="34">N45-Q45</f>
        <v>90000</v>
      </c>
      <c r="O46" s="40">
        <f t="shared" ref="O46:O54" si="35">$C$12</f>
        <v>7560</v>
      </c>
      <c r="P46" s="40">
        <f t="shared" ref="P46:P55" si="36">ROUND(N46*$D$4,2)*$D$6</f>
        <v>7560</v>
      </c>
      <c r="Q46" s="69">
        <f t="shared" ref="Q46:Q55" si="37">Q20</f>
        <v>0</v>
      </c>
      <c r="R46" s="92">
        <f t="shared" ref="R46:R55" si="38">ROUND(N46*$E$4,2)*(L46-L45)</f>
        <v>6804</v>
      </c>
      <c r="S46" s="43">
        <f t="shared" ref="S46:S54" si="39">Q46+R46</f>
        <v>6804</v>
      </c>
      <c r="U46" s="59">
        <f t="shared" si="31"/>
        <v>44855</v>
      </c>
      <c r="V46">
        <f>V45+$D$6</f>
        <v>112</v>
      </c>
      <c r="W46" s="39">
        <v>4</v>
      </c>
      <c r="X46" s="40">
        <f t="shared" ref="X46:X53" si="40">X45-AA45</f>
        <v>90000</v>
      </c>
      <c r="Y46" s="40">
        <f t="shared" ref="Y46:Y53" si="41">$C$12</f>
        <v>7560</v>
      </c>
      <c r="Z46" s="40">
        <f t="shared" ref="Z46:Z53" si="42">ROUND(X46*$D$4,2)*$D$6</f>
        <v>7560</v>
      </c>
      <c r="AA46" s="69">
        <f t="shared" ref="AA46:AA55" si="43" xml:space="preserve"> AB20</f>
        <v>0</v>
      </c>
      <c r="AB46" s="92">
        <f t="shared" ref="AB46:AB54" si="44">ROUND(X46*$E$4,2)*(V46-V45)</f>
        <v>6804</v>
      </c>
      <c r="AC46" s="43">
        <f t="shared" ref="AC46:AC54" si="45">AA46+AB46</f>
        <v>6804</v>
      </c>
    </row>
    <row r="47" spans="1:29" x14ac:dyDescent="0.25">
      <c r="A47" s="59">
        <f t="shared" si="24"/>
        <v>44883</v>
      </c>
      <c r="B47">
        <f t="shared" si="25"/>
        <v>140</v>
      </c>
      <c r="C47" s="39">
        <v>5</v>
      </c>
      <c r="D47" s="40">
        <f t="shared" si="26"/>
        <v>90000</v>
      </c>
      <c r="E47" s="40">
        <f t="shared" si="32"/>
        <v>7560</v>
      </c>
      <c r="F47" s="40">
        <f t="shared" si="27"/>
        <v>7560</v>
      </c>
      <c r="G47" s="41">
        <f t="shared" si="33"/>
        <v>0</v>
      </c>
      <c r="H47" s="92">
        <f t="shared" si="28"/>
        <v>6804</v>
      </c>
      <c r="I47" s="45">
        <f t="shared" si="29"/>
        <v>6804</v>
      </c>
      <c r="J47" s="60"/>
      <c r="K47" s="59">
        <f t="shared" si="30"/>
        <v>44883</v>
      </c>
      <c r="L47">
        <f t="shared" ref="L47:L55" si="46">L46+$D$6</f>
        <v>140</v>
      </c>
      <c r="M47" s="39">
        <v>5</v>
      </c>
      <c r="N47" s="40">
        <f t="shared" si="34"/>
        <v>90000</v>
      </c>
      <c r="O47" s="40">
        <f t="shared" si="35"/>
        <v>7560</v>
      </c>
      <c r="P47" s="40">
        <f t="shared" si="36"/>
        <v>7560</v>
      </c>
      <c r="Q47" s="69">
        <f t="shared" si="37"/>
        <v>0</v>
      </c>
      <c r="R47" s="92">
        <f t="shared" si="38"/>
        <v>6804</v>
      </c>
      <c r="S47" s="43">
        <f t="shared" si="39"/>
        <v>6804</v>
      </c>
      <c r="U47" s="59">
        <f t="shared" si="31"/>
        <v>44883</v>
      </c>
      <c r="V47">
        <f t="shared" ref="V47:V55" si="47">V46+$D$6</f>
        <v>140</v>
      </c>
      <c r="W47" s="39">
        <v>5</v>
      </c>
      <c r="X47" s="40">
        <f t="shared" si="40"/>
        <v>90000</v>
      </c>
      <c r="Y47" s="40">
        <f t="shared" si="41"/>
        <v>7560</v>
      </c>
      <c r="Z47" s="40">
        <f t="shared" si="42"/>
        <v>7560</v>
      </c>
      <c r="AA47" s="69">
        <f t="shared" si="43"/>
        <v>0</v>
      </c>
      <c r="AB47" s="92">
        <f t="shared" si="44"/>
        <v>6804</v>
      </c>
      <c r="AC47" s="43">
        <f t="shared" si="45"/>
        <v>6804</v>
      </c>
    </row>
    <row r="48" spans="1:29" x14ac:dyDescent="0.25">
      <c r="A48" s="59">
        <f t="shared" si="24"/>
        <v>44911</v>
      </c>
      <c r="B48">
        <f t="shared" si="25"/>
        <v>168</v>
      </c>
      <c r="C48" s="39">
        <v>6</v>
      </c>
      <c r="D48" s="40">
        <f t="shared" si="26"/>
        <v>90000</v>
      </c>
      <c r="E48" s="40">
        <f t="shared" si="32"/>
        <v>7560</v>
      </c>
      <c r="F48" s="40">
        <f t="shared" si="27"/>
        <v>7560</v>
      </c>
      <c r="G48" s="41">
        <f t="shared" si="33"/>
        <v>0</v>
      </c>
      <c r="H48" s="92">
        <f t="shared" si="28"/>
        <v>6804</v>
      </c>
      <c r="I48" s="45">
        <f t="shared" si="29"/>
        <v>6804</v>
      </c>
      <c r="J48" s="60"/>
      <c r="K48" s="59">
        <f t="shared" si="30"/>
        <v>44911</v>
      </c>
      <c r="L48">
        <f t="shared" si="46"/>
        <v>168</v>
      </c>
      <c r="M48" s="39">
        <v>6</v>
      </c>
      <c r="N48" s="40">
        <f t="shared" si="34"/>
        <v>90000</v>
      </c>
      <c r="O48" s="40">
        <f t="shared" si="35"/>
        <v>7560</v>
      </c>
      <c r="P48" s="40">
        <f t="shared" si="36"/>
        <v>7560</v>
      </c>
      <c r="Q48" s="69">
        <f t="shared" si="37"/>
        <v>0</v>
      </c>
      <c r="R48" s="92">
        <f t="shared" si="38"/>
        <v>6804</v>
      </c>
      <c r="S48" s="43">
        <f t="shared" si="39"/>
        <v>6804</v>
      </c>
      <c r="U48" s="59">
        <f t="shared" si="31"/>
        <v>44911</v>
      </c>
      <c r="V48">
        <f t="shared" si="47"/>
        <v>168</v>
      </c>
      <c r="W48" s="39">
        <v>6</v>
      </c>
      <c r="X48" s="40">
        <f t="shared" si="40"/>
        <v>90000</v>
      </c>
      <c r="Y48" s="40">
        <f t="shared" si="41"/>
        <v>7560</v>
      </c>
      <c r="Z48" s="40">
        <f t="shared" si="42"/>
        <v>7560</v>
      </c>
      <c r="AA48" s="69">
        <f xml:space="preserve"> AB22</f>
        <v>0</v>
      </c>
      <c r="AB48" s="92">
        <f t="shared" si="44"/>
        <v>6804</v>
      </c>
      <c r="AC48" s="43">
        <f t="shared" si="45"/>
        <v>6804</v>
      </c>
    </row>
    <row r="49" spans="1:29" x14ac:dyDescent="0.25">
      <c r="A49" s="59">
        <f t="shared" si="24"/>
        <v>44939</v>
      </c>
      <c r="B49">
        <f t="shared" si="25"/>
        <v>196</v>
      </c>
      <c r="C49" s="39">
        <v>7</v>
      </c>
      <c r="D49" s="40">
        <f t="shared" si="26"/>
        <v>90000</v>
      </c>
      <c r="E49" s="40">
        <f t="shared" si="32"/>
        <v>7560</v>
      </c>
      <c r="F49" s="40">
        <f t="shared" si="27"/>
        <v>7560</v>
      </c>
      <c r="G49" s="41">
        <f t="shared" si="33"/>
        <v>0</v>
      </c>
      <c r="H49" s="92">
        <f t="shared" si="28"/>
        <v>6804</v>
      </c>
      <c r="I49" s="45">
        <f t="shared" si="29"/>
        <v>6804</v>
      </c>
      <c r="J49" s="60"/>
      <c r="K49" s="59">
        <f t="shared" si="30"/>
        <v>44939</v>
      </c>
      <c r="L49">
        <f t="shared" si="46"/>
        <v>196</v>
      </c>
      <c r="M49" s="39">
        <v>7</v>
      </c>
      <c r="N49" s="40">
        <f t="shared" si="34"/>
        <v>90000</v>
      </c>
      <c r="O49" s="40">
        <f t="shared" si="35"/>
        <v>7560</v>
      </c>
      <c r="P49" s="40">
        <f t="shared" si="36"/>
        <v>7560</v>
      </c>
      <c r="Q49" s="69">
        <f t="shared" si="37"/>
        <v>0</v>
      </c>
      <c r="R49" s="92">
        <f t="shared" si="38"/>
        <v>6804</v>
      </c>
      <c r="S49" s="43">
        <f t="shared" si="39"/>
        <v>6804</v>
      </c>
      <c r="U49" s="59">
        <f t="shared" si="31"/>
        <v>44939</v>
      </c>
      <c r="V49">
        <f t="shared" si="47"/>
        <v>196</v>
      </c>
      <c r="W49" s="39">
        <v>7</v>
      </c>
      <c r="X49" s="40">
        <f t="shared" si="40"/>
        <v>90000</v>
      </c>
      <c r="Y49" s="40">
        <f t="shared" si="41"/>
        <v>7560</v>
      </c>
      <c r="Z49" s="40">
        <f t="shared" si="42"/>
        <v>7560</v>
      </c>
      <c r="AA49" s="69">
        <f t="shared" si="43"/>
        <v>0</v>
      </c>
      <c r="AB49" s="92">
        <f t="shared" si="44"/>
        <v>6804</v>
      </c>
      <c r="AC49" s="43">
        <f t="shared" si="45"/>
        <v>6804</v>
      </c>
    </row>
    <row r="50" spans="1:29" x14ac:dyDescent="0.25">
      <c r="A50" s="59">
        <f t="shared" si="24"/>
        <v>44967</v>
      </c>
      <c r="B50">
        <f t="shared" si="25"/>
        <v>224</v>
      </c>
      <c r="C50" s="39">
        <v>8</v>
      </c>
      <c r="D50" s="40">
        <f t="shared" si="26"/>
        <v>90000</v>
      </c>
      <c r="E50" s="40">
        <f t="shared" si="32"/>
        <v>7560</v>
      </c>
      <c r="F50" s="40">
        <f t="shared" si="27"/>
        <v>7560</v>
      </c>
      <c r="G50" s="41">
        <f t="shared" si="33"/>
        <v>0</v>
      </c>
      <c r="H50" s="92">
        <f t="shared" si="28"/>
        <v>6804</v>
      </c>
      <c r="I50" s="45">
        <f t="shared" si="29"/>
        <v>6804</v>
      </c>
      <c r="J50" s="60"/>
      <c r="K50" s="59">
        <f t="shared" si="30"/>
        <v>44967</v>
      </c>
      <c r="L50">
        <f t="shared" si="46"/>
        <v>224</v>
      </c>
      <c r="M50" s="39">
        <v>8</v>
      </c>
      <c r="N50" s="40">
        <f t="shared" si="34"/>
        <v>90000</v>
      </c>
      <c r="O50" s="40">
        <f t="shared" si="35"/>
        <v>7560</v>
      </c>
      <c r="P50" s="40">
        <f t="shared" si="36"/>
        <v>7560</v>
      </c>
      <c r="Q50" s="69">
        <f t="shared" si="37"/>
        <v>0</v>
      </c>
      <c r="R50" s="92">
        <f t="shared" si="38"/>
        <v>6804</v>
      </c>
      <c r="S50" s="43">
        <f t="shared" si="39"/>
        <v>6804</v>
      </c>
      <c r="U50" s="59">
        <f t="shared" si="31"/>
        <v>44967</v>
      </c>
      <c r="V50">
        <f t="shared" si="47"/>
        <v>224</v>
      </c>
      <c r="W50" s="39">
        <v>8</v>
      </c>
      <c r="X50" s="40">
        <f t="shared" si="40"/>
        <v>90000</v>
      </c>
      <c r="Y50" s="40">
        <f t="shared" si="41"/>
        <v>7560</v>
      </c>
      <c r="Z50" s="40">
        <f t="shared" si="42"/>
        <v>7560</v>
      </c>
      <c r="AA50" s="69">
        <f t="shared" si="43"/>
        <v>0</v>
      </c>
      <c r="AB50" s="92">
        <f t="shared" si="44"/>
        <v>6804</v>
      </c>
      <c r="AC50" s="43">
        <f t="shared" si="45"/>
        <v>6804</v>
      </c>
    </row>
    <row r="51" spans="1:29" x14ac:dyDescent="0.25">
      <c r="A51" s="59">
        <f t="shared" si="24"/>
        <v>44995</v>
      </c>
      <c r="B51">
        <f t="shared" si="25"/>
        <v>252</v>
      </c>
      <c r="C51" s="39">
        <v>9</v>
      </c>
      <c r="D51" s="40">
        <f t="shared" si="26"/>
        <v>90000</v>
      </c>
      <c r="E51" s="40">
        <f t="shared" si="32"/>
        <v>7560</v>
      </c>
      <c r="F51" s="40">
        <f t="shared" si="27"/>
        <v>7560</v>
      </c>
      <c r="G51" s="41">
        <f t="shared" si="33"/>
        <v>0</v>
      </c>
      <c r="H51" s="92">
        <f t="shared" si="28"/>
        <v>6804</v>
      </c>
      <c r="I51" s="45">
        <f t="shared" si="29"/>
        <v>6804</v>
      </c>
      <c r="J51" s="60"/>
      <c r="K51" s="59">
        <f t="shared" si="30"/>
        <v>44995</v>
      </c>
      <c r="L51">
        <f t="shared" si="46"/>
        <v>252</v>
      </c>
      <c r="M51" s="39">
        <v>9</v>
      </c>
      <c r="N51" s="40">
        <f t="shared" si="34"/>
        <v>90000</v>
      </c>
      <c r="O51" s="40">
        <f t="shared" si="35"/>
        <v>7560</v>
      </c>
      <c r="P51" s="40">
        <f t="shared" si="36"/>
        <v>7560</v>
      </c>
      <c r="Q51" s="69">
        <f>Q25</f>
        <v>0</v>
      </c>
      <c r="R51" s="92">
        <f t="shared" si="38"/>
        <v>6804</v>
      </c>
      <c r="S51" s="43">
        <f t="shared" si="39"/>
        <v>6804</v>
      </c>
      <c r="U51" s="59">
        <f t="shared" si="31"/>
        <v>44995</v>
      </c>
      <c r="V51">
        <f t="shared" si="47"/>
        <v>252</v>
      </c>
      <c r="W51" s="39">
        <v>9</v>
      </c>
      <c r="X51" s="40">
        <f t="shared" si="40"/>
        <v>90000</v>
      </c>
      <c r="Y51" s="40">
        <f t="shared" si="41"/>
        <v>7560</v>
      </c>
      <c r="Z51" s="40">
        <f t="shared" si="42"/>
        <v>7560</v>
      </c>
      <c r="AA51" s="69">
        <f t="shared" si="43"/>
        <v>0</v>
      </c>
      <c r="AB51" s="92">
        <f t="shared" si="44"/>
        <v>6804</v>
      </c>
      <c r="AC51" s="43">
        <f t="shared" si="45"/>
        <v>6804</v>
      </c>
    </row>
    <row r="52" spans="1:29" x14ac:dyDescent="0.25">
      <c r="A52" s="59">
        <f t="shared" si="24"/>
        <v>45023</v>
      </c>
      <c r="B52">
        <f t="shared" si="25"/>
        <v>280</v>
      </c>
      <c r="C52" s="39">
        <v>10</v>
      </c>
      <c r="D52" s="40">
        <f t="shared" si="26"/>
        <v>90000</v>
      </c>
      <c r="E52" s="40">
        <f t="shared" si="32"/>
        <v>7560</v>
      </c>
      <c r="F52" s="40">
        <f t="shared" si="27"/>
        <v>7560</v>
      </c>
      <c r="G52" s="41">
        <f t="shared" si="33"/>
        <v>0</v>
      </c>
      <c r="H52" s="92">
        <f t="shared" si="28"/>
        <v>6804</v>
      </c>
      <c r="I52" s="45">
        <f t="shared" si="29"/>
        <v>6804</v>
      </c>
      <c r="J52" s="60"/>
      <c r="K52" s="59">
        <f t="shared" si="30"/>
        <v>45023</v>
      </c>
      <c r="L52">
        <f t="shared" si="46"/>
        <v>280</v>
      </c>
      <c r="M52" s="39">
        <v>10</v>
      </c>
      <c r="N52" s="40">
        <f t="shared" si="34"/>
        <v>90000</v>
      </c>
      <c r="O52" s="40">
        <f t="shared" si="35"/>
        <v>7560</v>
      </c>
      <c r="P52" s="40">
        <f t="shared" si="36"/>
        <v>7560</v>
      </c>
      <c r="Q52" s="69">
        <f t="shared" si="37"/>
        <v>0</v>
      </c>
      <c r="R52" s="92">
        <f t="shared" si="38"/>
        <v>6804</v>
      </c>
      <c r="S52" s="43">
        <f t="shared" si="39"/>
        <v>6804</v>
      </c>
      <c r="U52" s="59">
        <f t="shared" si="31"/>
        <v>45023</v>
      </c>
      <c r="V52">
        <f t="shared" si="47"/>
        <v>280</v>
      </c>
      <c r="W52" s="39">
        <v>10</v>
      </c>
      <c r="X52" s="40">
        <f t="shared" si="40"/>
        <v>90000</v>
      </c>
      <c r="Y52" s="40">
        <f t="shared" si="41"/>
        <v>7560</v>
      </c>
      <c r="Z52" s="40">
        <f t="shared" si="42"/>
        <v>7560</v>
      </c>
      <c r="AA52" s="69">
        <f t="shared" si="43"/>
        <v>0</v>
      </c>
      <c r="AB52" s="92">
        <f t="shared" si="44"/>
        <v>6804</v>
      </c>
      <c r="AC52" s="43">
        <f t="shared" si="45"/>
        <v>6804</v>
      </c>
    </row>
    <row r="53" spans="1:29" x14ac:dyDescent="0.25">
      <c r="A53" s="59">
        <f t="shared" si="24"/>
        <v>45051</v>
      </c>
      <c r="B53">
        <f t="shared" si="25"/>
        <v>308</v>
      </c>
      <c r="C53" s="39">
        <v>11</v>
      </c>
      <c r="D53" s="40">
        <f t="shared" si="26"/>
        <v>90000</v>
      </c>
      <c r="E53" s="40">
        <f t="shared" si="32"/>
        <v>7560</v>
      </c>
      <c r="F53" s="40">
        <f t="shared" si="27"/>
        <v>7560</v>
      </c>
      <c r="G53" s="41">
        <f t="shared" si="33"/>
        <v>0</v>
      </c>
      <c r="H53" s="92">
        <f t="shared" si="28"/>
        <v>6804</v>
      </c>
      <c r="I53" s="45">
        <f t="shared" si="29"/>
        <v>6804</v>
      </c>
      <c r="J53" s="60"/>
      <c r="K53" s="59">
        <f t="shared" si="30"/>
        <v>45051</v>
      </c>
      <c r="L53">
        <f t="shared" si="46"/>
        <v>308</v>
      </c>
      <c r="M53" s="39">
        <v>11</v>
      </c>
      <c r="N53" s="40">
        <f t="shared" si="34"/>
        <v>90000</v>
      </c>
      <c r="O53" s="40">
        <f t="shared" si="35"/>
        <v>7560</v>
      </c>
      <c r="P53" s="40">
        <f t="shared" si="36"/>
        <v>7560</v>
      </c>
      <c r="Q53" s="69">
        <f t="shared" si="37"/>
        <v>0</v>
      </c>
      <c r="R53" s="92">
        <f t="shared" si="38"/>
        <v>6804</v>
      </c>
      <c r="S53" s="43">
        <f t="shared" si="39"/>
        <v>6804</v>
      </c>
      <c r="U53" s="59">
        <f t="shared" si="31"/>
        <v>45051</v>
      </c>
      <c r="V53">
        <f t="shared" si="47"/>
        <v>308</v>
      </c>
      <c r="W53" s="39">
        <v>11</v>
      </c>
      <c r="X53" s="40">
        <f t="shared" si="40"/>
        <v>90000</v>
      </c>
      <c r="Y53" s="40">
        <f t="shared" si="41"/>
        <v>7560</v>
      </c>
      <c r="Z53" s="40">
        <f t="shared" si="42"/>
        <v>7560</v>
      </c>
      <c r="AA53" s="69">
        <f t="shared" si="43"/>
        <v>0</v>
      </c>
      <c r="AB53" s="92">
        <f t="shared" si="44"/>
        <v>6804</v>
      </c>
      <c r="AC53" s="43">
        <f t="shared" si="45"/>
        <v>6804</v>
      </c>
    </row>
    <row r="54" spans="1:29" x14ac:dyDescent="0.25">
      <c r="A54" s="59">
        <f t="shared" si="24"/>
        <v>45079</v>
      </c>
      <c r="B54">
        <f t="shared" si="25"/>
        <v>336</v>
      </c>
      <c r="C54" s="39">
        <v>12</v>
      </c>
      <c r="D54" s="40">
        <f t="shared" si="26"/>
        <v>90000</v>
      </c>
      <c r="E54" s="40">
        <f t="shared" si="32"/>
        <v>7560</v>
      </c>
      <c r="F54" s="40">
        <f t="shared" si="27"/>
        <v>7560</v>
      </c>
      <c r="G54" s="41">
        <f t="shared" si="33"/>
        <v>0</v>
      </c>
      <c r="H54" s="92">
        <f t="shared" si="28"/>
        <v>6804</v>
      </c>
      <c r="I54" s="45">
        <f t="shared" si="29"/>
        <v>6804</v>
      </c>
      <c r="J54" s="60"/>
      <c r="K54" s="59">
        <f t="shared" si="30"/>
        <v>45079</v>
      </c>
      <c r="L54">
        <f t="shared" si="46"/>
        <v>336</v>
      </c>
      <c r="M54" s="39">
        <v>12</v>
      </c>
      <c r="N54" s="40">
        <f t="shared" si="34"/>
        <v>90000</v>
      </c>
      <c r="O54" s="40">
        <f t="shared" si="35"/>
        <v>7560</v>
      </c>
      <c r="P54" s="40">
        <f t="shared" si="36"/>
        <v>7560</v>
      </c>
      <c r="Q54" s="69">
        <f t="shared" si="37"/>
        <v>0</v>
      </c>
      <c r="R54" s="92">
        <f t="shared" si="38"/>
        <v>6804</v>
      </c>
      <c r="S54" s="43">
        <f t="shared" si="39"/>
        <v>6804</v>
      </c>
      <c r="U54" s="59">
        <f t="shared" si="31"/>
        <v>45079</v>
      </c>
      <c r="V54">
        <f t="shared" si="47"/>
        <v>336</v>
      </c>
      <c r="W54" s="39">
        <v>12</v>
      </c>
      <c r="X54" s="40">
        <f>X53-AA53</f>
        <v>90000</v>
      </c>
      <c r="Y54" s="40">
        <f>$C$12</f>
        <v>7560</v>
      </c>
      <c r="Z54" s="40">
        <f>ROUND(X54*$D$4,2)*$D$6</f>
        <v>7560</v>
      </c>
      <c r="AA54" s="69">
        <f t="shared" si="43"/>
        <v>0</v>
      </c>
      <c r="AB54" s="92">
        <f t="shared" si="44"/>
        <v>6804</v>
      </c>
      <c r="AC54" s="43">
        <f t="shared" si="45"/>
        <v>6804</v>
      </c>
    </row>
    <row r="55" spans="1:29" x14ac:dyDescent="0.25">
      <c r="A55" s="59">
        <f>A54+B55-B54</f>
        <v>45107</v>
      </c>
      <c r="B55">
        <f>B54+$D$6</f>
        <v>364</v>
      </c>
      <c r="C55" s="39">
        <v>13</v>
      </c>
      <c r="D55" s="40">
        <f>D54-G54</f>
        <v>90000</v>
      </c>
      <c r="E55" s="40">
        <f>$D$3-SUM(G42:G54)+F55</f>
        <v>97560</v>
      </c>
      <c r="F55" s="40">
        <f>ROUND(D55*$D$4,2)*$D$6</f>
        <v>7560</v>
      </c>
      <c r="G55" s="41">
        <f>G29</f>
        <v>90000</v>
      </c>
      <c r="H55" s="92">
        <f>ROUND(D55*$E$4,2)*(B55-B54)</f>
        <v>6804</v>
      </c>
      <c r="I55" s="45">
        <f>G55+H55</f>
        <v>96804</v>
      </c>
      <c r="J55" s="60"/>
      <c r="K55" s="59">
        <f t="shared" si="30"/>
        <v>45107</v>
      </c>
      <c r="L55">
        <f t="shared" si="46"/>
        <v>364</v>
      </c>
      <c r="M55" s="39">
        <v>13</v>
      </c>
      <c r="N55" s="40">
        <f t="shared" si="34"/>
        <v>90000</v>
      </c>
      <c r="O55" s="40">
        <f>$D$3-SUM(Q42:Q54)+P55</f>
        <v>97560</v>
      </c>
      <c r="P55" s="40">
        <f t="shared" si="36"/>
        <v>7560</v>
      </c>
      <c r="Q55" s="69">
        <f t="shared" si="37"/>
        <v>90000</v>
      </c>
      <c r="R55" s="92">
        <f t="shared" si="38"/>
        <v>6804</v>
      </c>
      <c r="S55" s="43">
        <f>Q55+R55</f>
        <v>96804</v>
      </c>
      <c r="U55" s="59">
        <f t="shared" si="31"/>
        <v>45107</v>
      </c>
      <c r="V55">
        <f t="shared" si="47"/>
        <v>364</v>
      </c>
      <c r="W55" s="39">
        <v>13</v>
      </c>
      <c r="X55" s="40">
        <f>X54-AA54</f>
        <v>90000</v>
      </c>
      <c r="Y55" s="40">
        <f>$D$3-SUM(AA42:AA54)+Z55</f>
        <v>97560</v>
      </c>
      <c r="Z55" s="40">
        <f>ROUND(X55*$D$4,2)*$D$6</f>
        <v>7560</v>
      </c>
      <c r="AA55" s="69">
        <f t="shared" si="43"/>
        <v>90000</v>
      </c>
      <c r="AB55" s="92">
        <f>ROUND(X55*$E$4,2)*(V55-V54)</f>
        <v>6804</v>
      </c>
      <c r="AC55" s="43">
        <f>AA55+AB55</f>
        <v>96804</v>
      </c>
    </row>
    <row r="56" spans="1:29" ht="15.75" thickBot="1" x14ac:dyDescent="0.3">
      <c r="A56" s="59"/>
      <c r="C56" s="136" t="s">
        <v>20</v>
      </c>
      <c r="D56" s="137"/>
      <c r="E56" s="46">
        <f>SUM(E41:E55)+F42+G42</f>
        <v>188280</v>
      </c>
      <c r="F56" s="46">
        <f>SUM(F41:F55)</f>
        <v>98280</v>
      </c>
      <c r="G56" s="47">
        <f>SUM(G41:G55)</f>
        <v>90000</v>
      </c>
      <c r="H56" s="48">
        <f>SUM(H43:H55)</f>
        <v>86722</v>
      </c>
      <c r="I56" s="49">
        <f>SUM(I42:I55)</f>
        <v>176722</v>
      </c>
      <c r="K56" s="59"/>
      <c r="M56" s="136" t="s">
        <v>20</v>
      </c>
      <c r="N56" s="137"/>
      <c r="O56" s="46">
        <f>SUM(O41:O55)+M39</f>
        <v>187524</v>
      </c>
      <c r="P56" s="46">
        <f>SUM(P41:P55)</f>
        <v>97524</v>
      </c>
      <c r="Q56" s="47">
        <f>SUM(Q42:Q55)</f>
        <v>90000</v>
      </c>
      <c r="R56" s="48">
        <f>SUM(R42:R55)</f>
        <v>85776</v>
      </c>
      <c r="S56" s="49">
        <f>SUM(S42:S55)</f>
        <v>175776</v>
      </c>
      <c r="U56" s="59"/>
      <c r="W56" s="136" t="s">
        <v>20</v>
      </c>
      <c r="X56" s="137"/>
      <c r="Y56" s="46">
        <f>SUM(Y41:Y55)+W39</f>
        <v>188280</v>
      </c>
      <c r="Z56" s="46">
        <f>SUM(Z41:Z55)</f>
        <v>98280</v>
      </c>
      <c r="AA56" s="47">
        <f>SUM(AA42:AA55)</f>
        <v>90000</v>
      </c>
      <c r="AB56" s="48">
        <f>SUM(AB42:AB55)</f>
        <v>85536</v>
      </c>
      <c r="AC56" s="49">
        <f>SUM(AC42:AC55)</f>
        <v>175536</v>
      </c>
    </row>
    <row r="57" spans="1:29" x14ac:dyDescent="0.25">
      <c r="A57">
        <f>A42-A41</f>
        <v>10</v>
      </c>
      <c r="E57" s="28">
        <f>(F56+G56)/G56</f>
        <v>2.0920000000000001</v>
      </c>
      <c r="F57" s="68">
        <f>F30-F56</f>
        <v>0</v>
      </c>
      <c r="I57" s="29">
        <f>I56/G56</f>
        <v>1.9635777777777779</v>
      </c>
      <c r="K57" s="59"/>
      <c r="O57" s="28">
        <f>(P56+Q56)/Q56</f>
        <v>2.0836000000000001</v>
      </c>
      <c r="P57" s="68">
        <f>P30-P56</f>
        <v>756</v>
      </c>
      <c r="S57" s="29">
        <f>S56/Q56</f>
        <v>1.9530666666666667</v>
      </c>
      <c r="U57" s="59"/>
      <c r="Y57" s="28">
        <f>(Z56+AA56)/AA56</f>
        <v>2.0920000000000001</v>
      </c>
      <c r="Z57" s="68">
        <f>AA30-Z56</f>
        <v>0</v>
      </c>
      <c r="AC57" s="29">
        <f>AC56/AA56</f>
        <v>1.9503999999999999</v>
      </c>
    </row>
    <row r="58" spans="1:29" x14ac:dyDescent="0.25">
      <c r="A58">
        <f>A43-A42</f>
        <v>18</v>
      </c>
      <c r="B58">
        <f>56-B43</f>
        <v>28</v>
      </c>
      <c r="C58">
        <f>B55-B54</f>
        <v>28</v>
      </c>
      <c r="K58">
        <f>K42-K41</f>
        <v>28</v>
      </c>
    </row>
    <row r="59" spans="1:29" x14ac:dyDescent="0.25">
      <c r="A59">
        <f t="shared" ref="A59:A70" si="48">A44-A43</f>
        <v>28</v>
      </c>
      <c r="K59">
        <f t="shared" ref="K59:K71" si="49">K43-K42</f>
        <v>12</v>
      </c>
    </row>
    <row r="60" spans="1:29" x14ac:dyDescent="0.25">
      <c r="A60">
        <f t="shared" si="48"/>
        <v>28</v>
      </c>
      <c r="K60">
        <f>K44-K43</f>
        <v>16</v>
      </c>
      <c r="L60">
        <f>56-L43</f>
        <v>16</v>
      </c>
      <c r="M60">
        <f>L55-L54</f>
        <v>28</v>
      </c>
    </row>
    <row r="61" spans="1:29" x14ac:dyDescent="0.25">
      <c r="A61">
        <f t="shared" si="48"/>
        <v>28</v>
      </c>
      <c r="K61">
        <f t="shared" si="49"/>
        <v>28</v>
      </c>
    </row>
    <row r="62" spans="1:29" x14ac:dyDescent="0.25">
      <c r="A62">
        <f t="shared" si="48"/>
        <v>28</v>
      </c>
      <c r="K62">
        <f t="shared" si="49"/>
        <v>28</v>
      </c>
    </row>
    <row r="63" spans="1:29" x14ac:dyDescent="0.25">
      <c r="A63">
        <f t="shared" si="48"/>
        <v>28</v>
      </c>
      <c r="K63">
        <f t="shared" si="49"/>
        <v>28</v>
      </c>
    </row>
    <row r="64" spans="1:29" x14ac:dyDescent="0.25">
      <c r="A64">
        <f t="shared" si="48"/>
        <v>28</v>
      </c>
      <c r="K64">
        <f t="shared" si="49"/>
        <v>28</v>
      </c>
    </row>
    <row r="65" spans="1:11" x14ac:dyDescent="0.25">
      <c r="A65">
        <f t="shared" si="48"/>
        <v>28</v>
      </c>
      <c r="K65">
        <f t="shared" si="49"/>
        <v>28</v>
      </c>
    </row>
    <row r="66" spans="1:11" x14ac:dyDescent="0.25">
      <c r="A66">
        <f t="shared" si="48"/>
        <v>28</v>
      </c>
      <c r="K66">
        <f t="shared" si="49"/>
        <v>28</v>
      </c>
    </row>
    <row r="67" spans="1:11" x14ac:dyDescent="0.25">
      <c r="A67">
        <f t="shared" si="48"/>
        <v>28</v>
      </c>
      <c r="K67">
        <f t="shared" si="49"/>
        <v>28</v>
      </c>
    </row>
    <row r="68" spans="1:11" x14ac:dyDescent="0.25">
      <c r="A68">
        <f t="shared" si="48"/>
        <v>28</v>
      </c>
      <c r="K68">
        <f t="shared" si="49"/>
        <v>28</v>
      </c>
    </row>
    <row r="69" spans="1:11" x14ac:dyDescent="0.25">
      <c r="A69">
        <f t="shared" si="48"/>
        <v>28</v>
      </c>
      <c r="K69">
        <f t="shared" si="49"/>
        <v>28</v>
      </c>
    </row>
    <row r="70" spans="1:11" x14ac:dyDescent="0.25">
      <c r="A70">
        <f t="shared" si="48"/>
        <v>28</v>
      </c>
      <c r="K70">
        <f t="shared" si="49"/>
        <v>28</v>
      </c>
    </row>
    <row r="71" spans="1:11" x14ac:dyDescent="0.25">
      <c r="K71">
        <f t="shared" si="49"/>
        <v>28</v>
      </c>
    </row>
  </sheetData>
  <mergeCells count="6">
    <mergeCell ref="C56:D56"/>
    <mergeCell ref="M56:N56"/>
    <mergeCell ref="W56:X56"/>
    <mergeCell ref="C30:D30"/>
    <mergeCell ref="M30:N30"/>
    <mergeCell ref="X30:Y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2617-E162-45C3-A391-0A02AA2F286B}">
  <sheetPr>
    <tabColor theme="9" tint="0.39997558519241921"/>
    <pageSetUpPr autoPageBreaks="0"/>
  </sheetPr>
  <dimension ref="A1:AI72"/>
  <sheetViews>
    <sheetView topLeftCell="A39" zoomScale="70" zoomScaleNormal="70" workbookViewId="0">
      <selection activeCell="R40" sqref="R40"/>
    </sheetView>
  </sheetViews>
  <sheetFormatPr defaultRowHeight="15" x14ac:dyDescent="0.25"/>
  <cols>
    <col min="1" max="1" width="11.5703125" customWidth="1"/>
    <col min="2" max="2" width="19.140625" customWidth="1"/>
    <col min="3" max="3" width="10.42578125" bestFit="1" customWidth="1"/>
    <col min="4" max="4" width="12.42578125" customWidth="1"/>
    <col min="5" max="6" width="13.28515625" customWidth="1"/>
    <col min="7" max="7" width="12.42578125" customWidth="1"/>
    <col min="8" max="9" width="11.85546875" customWidth="1"/>
    <col min="11" max="11" width="11.7109375" customWidth="1"/>
    <col min="13" max="13" width="10.5703125" bestFit="1" customWidth="1"/>
    <col min="14" max="14" width="15.42578125" customWidth="1"/>
    <col min="15" max="15" width="11.5703125" customWidth="1"/>
    <col min="16" max="16" width="12.28515625" customWidth="1"/>
    <col min="17" max="18" width="11.7109375" customWidth="1"/>
    <col min="19" max="19" width="12.85546875" customWidth="1"/>
    <col min="20" max="20" width="11" customWidth="1"/>
    <col min="21" max="21" width="12" customWidth="1"/>
    <col min="22" max="22" width="11.28515625" customWidth="1"/>
    <col min="25" max="25" width="11.42578125" customWidth="1"/>
    <col min="26" max="26" width="11.5703125" bestFit="1" customWidth="1"/>
    <col min="27" max="27" width="13.28515625" customWidth="1"/>
    <col min="28" max="28" width="13.85546875" customWidth="1"/>
    <col min="29" max="29" width="13.5703125" customWidth="1"/>
    <col min="30" max="30" width="14.28515625" customWidth="1"/>
    <col min="31" max="31" width="14" customWidth="1"/>
    <col min="32" max="32" width="12.7109375" customWidth="1"/>
    <col min="33" max="33" width="12.85546875" customWidth="1"/>
  </cols>
  <sheetData>
    <row r="1" spans="1:30" x14ac:dyDescent="0.25">
      <c r="H1" s="60"/>
      <c r="I1" s="60"/>
      <c r="J1" s="60"/>
      <c r="K1" s="60"/>
      <c r="L1" s="60"/>
      <c r="M1" s="60"/>
      <c r="N1" s="60"/>
    </row>
    <row r="2" spans="1:30" x14ac:dyDescent="0.25">
      <c r="B2" s="8" t="s">
        <v>0</v>
      </c>
      <c r="H2" s="60"/>
      <c r="I2" s="60"/>
      <c r="J2" s="60"/>
      <c r="K2" s="60"/>
      <c r="L2" s="60"/>
      <c r="M2" s="60"/>
      <c r="N2" s="60"/>
    </row>
    <row r="3" spans="1:30" x14ac:dyDescent="0.25">
      <c r="B3" t="s">
        <v>1</v>
      </c>
      <c r="D3" s="2">
        <v>90000</v>
      </c>
      <c r="H3" s="60"/>
      <c r="I3" s="84"/>
      <c r="J3" s="60"/>
      <c r="K3" s="60"/>
      <c r="L3" s="60"/>
      <c r="M3" s="60"/>
      <c r="N3" s="60"/>
    </row>
    <row r="4" spans="1:30" ht="28.5" customHeight="1" x14ac:dyDescent="0.25">
      <c r="B4" s="23" t="s">
        <v>83</v>
      </c>
      <c r="D4" s="91">
        <v>3.0000000000000001E-3</v>
      </c>
      <c r="E4" s="91">
        <v>2.7000000000000001E-3</v>
      </c>
      <c r="F4" s="123">
        <f>D4-((D4*C13))</f>
        <v>-2.7E-2</v>
      </c>
      <c r="H4" s="60"/>
      <c r="I4" s="85"/>
      <c r="J4" s="60"/>
      <c r="K4" s="60"/>
      <c r="L4" s="60"/>
      <c r="M4" s="60"/>
      <c r="N4" s="60"/>
    </row>
    <row r="5" spans="1:30" x14ac:dyDescent="0.25">
      <c r="B5" t="s">
        <v>3</v>
      </c>
      <c r="D5">
        <v>13</v>
      </c>
      <c r="H5" s="60"/>
      <c r="I5" s="85"/>
      <c r="J5" s="60"/>
      <c r="K5" s="60"/>
      <c r="L5" s="60"/>
      <c r="M5" s="18"/>
      <c r="N5" s="18"/>
      <c r="O5" s="18"/>
    </row>
    <row r="6" spans="1:30" x14ac:dyDescent="0.25">
      <c r="B6" t="s">
        <v>4</v>
      </c>
      <c r="D6">
        <v>28</v>
      </c>
      <c r="E6">
        <f>D6*D5</f>
        <v>364</v>
      </c>
      <c r="F6">
        <f>((D4*C13))</f>
        <v>0.03</v>
      </c>
      <c r="H6" s="60"/>
      <c r="I6" s="60"/>
      <c r="J6" s="60"/>
      <c r="K6" s="60"/>
      <c r="L6" s="60"/>
      <c r="M6" s="86"/>
      <c r="N6" s="60"/>
      <c r="O6" s="3"/>
    </row>
    <row r="9" spans="1:30" x14ac:dyDescent="0.25">
      <c r="B9" t="s">
        <v>5</v>
      </c>
    </row>
    <row r="11" spans="1:30" x14ac:dyDescent="0.25">
      <c r="B11" s="5" t="s">
        <v>103</v>
      </c>
      <c r="C11" s="40">
        <f>(D3*D4)*1</f>
        <v>270</v>
      </c>
      <c r="D11" s="4"/>
      <c r="E11" s="4"/>
      <c r="F11" s="3"/>
    </row>
    <row r="12" spans="1:30" x14ac:dyDescent="0.25">
      <c r="B12" t="s">
        <v>102</v>
      </c>
      <c r="C12" s="50">
        <f>$F$17</f>
        <v>7560</v>
      </c>
      <c r="D12" s="5"/>
    </row>
    <row r="13" spans="1:30" x14ac:dyDescent="0.25">
      <c r="B13" t="s">
        <v>9</v>
      </c>
      <c r="C13">
        <v>10</v>
      </c>
      <c r="D13" s="62"/>
    </row>
    <row r="14" spans="1:30" ht="16.5" thickBot="1" x14ac:dyDescent="0.3">
      <c r="D14" s="1" t="s">
        <v>78</v>
      </c>
      <c r="E14" s="8"/>
      <c r="F14" s="8"/>
      <c r="N14" s="1" t="s">
        <v>78</v>
      </c>
      <c r="O14" s="8"/>
      <c r="P14" s="8"/>
      <c r="Y14" s="1" t="s">
        <v>78</v>
      </c>
      <c r="Z14" s="8"/>
      <c r="AA14" s="8"/>
    </row>
    <row r="15" spans="1:30" ht="30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K15" t="s">
        <v>77</v>
      </c>
      <c r="L15" t="s">
        <v>76</v>
      </c>
      <c r="M15" s="9" t="s">
        <v>15</v>
      </c>
      <c r="N15" s="10" t="s">
        <v>16</v>
      </c>
      <c r="O15" s="10" t="s">
        <v>17</v>
      </c>
      <c r="P15" s="10" t="s">
        <v>18</v>
      </c>
      <c r="Q15" s="11" t="s">
        <v>19</v>
      </c>
      <c r="R15" s="24" t="s">
        <v>41</v>
      </c>
      <c r="S15" s="25" t="s">
        <v>42</v>
      </c>
      <c r="V15" t="s">
        <v>77</v>
      </c>
      <c r="W15" t="s">
        <v>76</v>
      </c>
      <c r="X15" s="9" t="s">
        <v>15</v>
      </c>
      <c r="Y15" s="10" t="s">
        <v>16</v>
      </c>
      <c r="Z15" s="10" t="s">
        <v>17</v>
      </c>
      <c r="AA15" s="10" t="s">
        <v>18</v>
      </c>
      <c r="AB15" s="11" t="s">
        <v>19</v>
      </c>
      <c r="AC15" s="24" t="s">
        <v>41</v>
      </c>
      <c r="AD15" s="25" t="s">
        <v>42</v>
      </c>
    </row>
    <row r="16" spans="1:30" x14ac:dyDescent="0.25">
      <c r="A16" s="59">
        <v>44743</v>
      </c>
      <c r="B16">
        <v>0</v>
      </c>
      <c r="C16" s="39">
        <v>0</v>
      </c>
      <c r="E16" s="40"/>
      <c r="F16" s="40"/>
      <c r="G16" s="41"/>
      <c r="H16" s="42"/>
      <c r="I16" s="43"/>
      <c r="K16" s="59">
        <v>44743</v>
      </c>
      <c r="L16">
        <v>0</v>
      </c>
      <c r="M16" s="39">
        <v>0</v>
      </c>
      <c r="O16" s="40"/>
      <c r="P16" s="40"/>
      <c r="Q16" s="41"/>
      <c r="R16" s="42"/>
      <c r="S16" s="43"/>
      <c r="V16" s="59">
        <v>44743</v>
      </c>
      <c r="W16">
        <v>0</v>
      </c>
      <c r="X16" s="39">
        <v>0</v>
      </c>
      <c r="Z16" s="40"/>
      <c r="AA16" s="40"/>
      <c r="AB16" s="41"/>
      <c r="AC16" s="42"/>
      <c r="AD16" s="43"/>
    </row>
    <row r="17" spans="1:30" x14ac:dyDescent="0.25">
      <c r="A17" s="59">
        <f>A16+B17-B16</f>
        <v>44771</v>
      </c>
      <c r="B17">
        <f>B16+$D$6</f>
        <v>28</v>
      </c>
      <c r="C17" s="39">
        <v>1</v>
      </c>
      <c r="D17" s="40">
        <f>$D$3</f>
        <v>90000</v>
      </c>
      <c r="E17" s="40">
        <f>$F$17</f>
        <v>7560</v>
      </c>
      <c r="F17" s="40">
        <f>ROUND(D17*$D$4,2)*$D$6</f>
        <v>7560</v>
      </c>
      <c r="G17" s="41">
        <f>E17-F17</f>
        <v>0</v>
      </c>
      <c r="H17" s="92">
        <f>ROUND(D17*$E$4,2)*$D$6</f>
        <v>6804</v>
      </c>
      <c r="I17" s="45">
        <f>G17+H17</f>
        <v>6804</v>
      </c>
      <c r="K17" s="59">
        <f>K16+L17-L16</f>
        <v>44771</v>
      </c>
      <c r="L17">
        <f>L16+$D$6</f>
        <v>28</v>
      </c>
      <c r="M17" s="39">
        <v>1</v>
      </c>
      <c r="N17" s="40">
        <f>$D$3</f>
        <v>90000</v>
      </c>
      <c r="O17" s="40">
        <f>$F$17</f>
        <v>7560</v>
      </c>
      <c r="P17" s="40">
        <f>ROUND(N17*$D$4,2)*$D$6</f>
        <v>7560</v>
      </c>
      <c r="Q17" s="41">
        <f>O17-P17</f>
        <v>0</v>
      </c>
      <c r="R17" s="92">
        <f>ROUND(N17*$E$4,2)*$D$6</f>
        <v>6804</v>
      </c>
      <c r="S17" s="45">
        <f>Q17+R17</f>
        <v>6804</v>
      </c>
      <c r="V17" s="59">
        <f>V16+W17-W16</f>
        <v>44771</v>
      </c>
      <c r="W17">
        <f>W16+$D$6</f>
        <v>28</v>
      </c>
      <c r="X17" s="39">
        <v>1</v>
      </c>
      <c r="Y17" s="40">
        <f>$D$3</f>
        <v>90000</v>
      </c>
      <c r="Z17" s="40">
        <f>$F$17</f>
        <v>7560</v>
      </c>
      <c r="AA17" s="40">
        <f>ROUND(Y17*$D$4,2)*$D$6</f>
        <v>7560</v>
      </c>
      <c r="AB17" s="41">
        <f>Z17-AA17</f>
        <v>0</v>
      </c>
      <c r="AC17" s="92">
        <f>ROUND(Y17*$E$4,2)*$D$6</f>
        <v>6804</v>
      </c>
      <c r="AD17" s="45">
        <f>AB17+AC17</f>
        <v>6804</v>
      </c>
    </row>
    <row r="18" spans="1:30" x14ac:dyDescent="0.25">
      <c r="A18" s="59">
        <f t="shared" ref="A18:A29" si="0">A17+B18-B17</f>
        <v>44799</v>
      </c>
      <c r="B18">
        <f t="shared" ref="B18:B29" si="1">B17+$D$6</f>
        <v>56</v>
      </c>
      <c r="C18" s="39">
        <v>2</v>
      </c>
      <c r="D18" s="40">
        <f>D17-G17</f>
        <v>90000</v>
      </c>
      <c r="E18" s="40">
        <f t="shared" ref="E18:E28" si="2">$F$17</f>
        <v>7560</v>
      </c>
      <c r="F18" s="40">
        <f>ROUND(D18*$D$4,2)*$D$6</f>
        <v>7560</v>
      </c>
      <c r="G18" s="41">
        <f>E18-F18</f>
        <v>0</v>
      </c>
      <c r="H18" s="92">
        <f>ROUND(D18*$E$4,2)*$D$6</f>
        <v>6804</v>
      </c>
      <c r="I18" s="45">
        <f>G18+H18</f>
        <v>6804</v>
      </c>
      <c r="K18" s="59">
        <f t="shared" ref="K18:K28" si="3">K17+L18-L17</f>
        <v>44799</v>
      </c>
      <c r="L18">
        <f>L17+$D$6</f>
        <v>56</v>
      </c>
      <c r="M18" s="39">
        <v>2</v>
      </c>
      <c r="N18" s="40">
        <f>N17-Q17</f>
        <v>90000</v>
      </c>
      <c r="O18" s="40">
        <f t="shared" ref="O18:O28" si="4">$F$17</f>
        <v>7560</v>
      </c>
      <c r="P18" s="40">
        <f>ROUND(N18*$D$4,2)*$D$6</f>
        <v>7560</v>
      </c>
      <c r="Q18" s="41">
        <f>O18-P18</f>
        <v>0</v>
      </c>
      <c r="R18" s="92">
        <f>ROUND(N18*$E$4,2)*$D$6</f>
        <v>6804</v>
      </c>
      <c r="S18" s="45">
        <f>Q18+R18</f>
        <v>6804</v>
      </c>
      <c r="V18" s="59">
        <f t="shared" ref="V18:V29" si="5">V17+W18-W17</f>
        <v>44799</v>
      </c>
      <c r="W18">
        <f>W17+$D$6</f>
        <v>56</v>
      </c>
      <c r="X18" s="39">
        <v>2</v>
      </c>
      <c r="Y18" s="40">
        <f>Y17-AB17</f>
        <v>90000</v>
      </c>
      <c r="Z18" s="40">
        <f t="shared" ref="Z18:Z28" si="6">$F$17</f>
        <v>7560</v>
      </c>
      <c r="AA18" s="40">
        <f>ROUND(Y18*$D$4,2)*$D$6</f>
        <v>7560</v>
      </c>
      <c r="AB18" s="41">
        <f>Z18-AA18</f>
        <v>0</v>
      </c>
      <c r="AC18" s="92">
        <f>ROUND(Y18*$E$4,2)*$D$6</f>
        <v>6804</v>
      </c>
      <c r="AD18" s="45">
        <f>AB18+AC18</f>
        <v>6804</v>
      </c>
    </row>
    <row r="19" spans="1:30" x14ac:dyDescent="0.25">
      <c r="A19" s="59">
        <f t="shared" si="0"/>
        <v>44827</v>
      </c>
      <c r="B19">
        <f t="shared" si="1"/>
        <v>84</v>
      </c>
      <c r="C19" s="39">
        <v>3</v>
      </c>
      <c r="D19" s="40">
        <f>D18-G18</f>
        <v>90000</v>
      </c>
      <c r="E19" s="40">
        <f t="shared" si="2"/>
        <v>7560</v>
      </c>
      <c r="F19" s="40">
        <f>ROUND(D19*$D$4,2)*$D$6</f>
        <v>7560</v>
      </c>
      <c r="G19" s="41">
        <f>E19-F19</f>
        <v>0</v>
      </c>
      <c r="H19" s="92">
        <f>ROUND(D19*$E$4,2)*$D$6</f>
        <v>6804</v>
      </c>
      <c r="I19" s="45">
        <f>G19+H19</f>
        <v>6804</v>
      </c>
      <c r="K19" s="59">
        <f t="shared" si="3"/>
        <v>44827</v>
      </c>
      <c r="L19">
        <f>L18+$D$6</f>
        <v>84</v>
      </c>
      <c r="M19" s="39">
        <v>3</v>
      </c>
      <c r="N19" s="40">
        <f>N18-Q18</f>
        <v>90000</v>
      </c>
      <c r="O19" s="40">
        <f t="shared" si="4"/>
        <v>7560</v>
      </c>
      <c r="P19" s="40">
        <f>ROUND(N19*$D$4,2)*$D$6</f>
        <v>7560</v>
      </c>
      <c r="Q19" s="41">
        <f>O19-P19</f>
        <v>0</v>
      </c>
      <c r="R19" s="92">
        <f>ROUND(N19*$E$4,2)*$D$6</f>
        <v>6804</v>
      </c>
      <c r="S19" s="45">
        <f>Q19+R19</f>
        <v>6804</v>
      </c>
      <c r="V19" s="59">
        <f t="shared" si="5"/>
        <v>44827</v>
      </c>
      <c r="W19">
        <f>W18+$D$6</f>
        <v>84</v>
      </c>
      <c r="X19" s="39">
        <v>3</v>
      </c>
      <c r="Y19" s="40">
        <f>Y18-AB18</f>
        <v>90000</v>
      </c>
      <c r="Z19" s="40">
        <f t="shared" si="6"/>
        <v>7560</v>
      </c>
      <c r="AA19" s="40">
        <f>ROUND(Y19*$D$4,2)*$D$6</f>
        <v>7560</v>
      </c>
      <c r="AB19" s="41">
        <f>Z19-AA19</f>
        <v>0</v>
      </c>
      <c r="AC19" s="92">
        <f>ROUND(Y19*$E$4,2)*$D$6</f>
        <v>6804</v>
      </c>
      <c r="AD19" s="45">
        <f>AB19+AC19</f>
        <v>6804</v>
      </c>
    </row>
    <row r="20" spans="1:30" x14ac:dyDescent="0.25">
      <c r="A20" s="59">
        <f t="shared" si="0"/>
        <v>44855</v>
      </c>
      <c r="B20">
        <f t="shared" si="1"/>
        <v>112</v>
      </c>
      <c r="C20" s="39">
        <v>4</v>
      </c>
      <c r="D20" s="40">
        <f t="shared" ref="D20:D28" si="7">D19-G19</f>
        <v>90000</v>
      </c>
      <c r="E20" s="40">
        <f t="shared" si="2"/>
        <v>7560</v>
      </c>
      <c r="F20" s="40">
        <f t="shared" ref="F20:F28" si="8">ROUND(D20*$D$4,2)*$D$6</f>
        <v>7560</v>
      </c>
      <c r="G20" s="41">
        <f t="shared" ref="G20:G28" si="9">E20-F20</f>
        <v>0</v>
      </c>
      <c r="H20" s="92">
        <f t="shared" ref="H20:H28" si="10">ROUND(D20*$E$4,2)*$D$6</f>
        <v>6804</v>
      </c>
      <c r="I20" s="45">
        <f t="shared" ref="I20:I28" si="11">G20+H20</f>
        <v>6804</v>
      </c>
      <c r="K20" s="59">
        <f t="shared" si="3"/>
        <v>44855</v>
      </c>
      <c r="L20">
        <f t="shared" ref="L20:L29" si="12">L19+$D$6</f>
        <v>112</v>
      </c>
      <c r="M20" s="39">
        <v>4</v>
      </c>
      <c r="N20" s="40">
        <f t="shared" ref="N20:N28" si="13">N19-Q19</f>
        <v>90000</v>
      </c>
      <c r="O20" s="40">
        <f t="shared" si="4"/>
        <v>7560</v>
      </c>
      <c r="P20" s="40">
        <f t="shared" ref="P20:P28" si="14">ROUND(N20*$D$4,2)*$D$6</f>
        <v>7560</v>
      </c>
      <c r="Q20" s="41">
        <f t="shared" ref="Q20:Q28" si="15">O20-P20</f>
        <v>0</v>
      </c>
      <c r="R20" s="92">
        <f t="shared" ref="R20:R28" si="16">ROUND(N20*$E$4,2)*$D$6</f>
        <v>6804</v>
      </c>
      <c r="S20" s="45">
        <f t="shared" ref="S20:S28" si="17">Q20+R20</f>
        <v>6804</v>
      </c>
      <c r="V20" s="59">
        <f t="shared" si="5"/>
        <v>44855</v>
      </c>
      <c r="W20">
        <f t="shared" ref="W20:W29" si="18">W19+$D$6</f>
        <v>112</v>
      </c>
      <c r="X20" s="39">
        <v>4</v>
      </c>
      <c r="Y20" s="40">
        <f t="shared" ref="Y20:Y28" si="19">Y19-AB19</f>
        <v>90000</v>
      </c>
      <c r="Z20" s="40">
        <f t="shared" si="6"/>
        <v>7560</v>
      </c>
      <c r="AA20" s="40">
        <f t="shared" ref="AA20:AA28" si="20">ROUND(Y20*$D$4,2)*$D$6</f>
        <v>7560</v>
      </c>
      <c r="AB20" s="41">
        <f t="shared" ref="AB20:AB28" si="21">Z20-AA20</f>
        <v>0</v>
      </c>
      <c r="AC20" s="92">
        <f t="shared" ref="AC20:AC28" si="22">ROUND(Y20*$E$4,2)*$D$6</f>
        <v>6804</v>
      </c>
      <c r="AD20" s="45">
        <f t="shared" ref="AD20:AD28" si="23">AB20+AC20</f>
        <v>6804</v>
      </c>
    </row>
    <row r="21" spans="1:30" x14ac:dyDescent="0.25">
      <c r="A21" s="59">
        <f t="shared" si="0"/>
        <v>44883</v>
      </c>
      <c r="B21">
        <f t="shared" si="1"/>
        <v>140</v>
      </c>
      <c r="C21" s="39">
        <v>5</v>
      </c>
      <c r="D21" s="40">
        <f t="shared" si="7"/>
        <v>90000</v>
      </c>
      <c r="E21" s="40">
        <f t="shared" si="2"/>
        <v>7560</v>
      </c>
      <c r="F21" s="40">
        <f t="shared" si="8"/>
        <v>7560</v>
      </c>
      <c r="G21" s="41">
        <f t="shared" si="9"/>
        <v>0</v>
      </c>
      <c r="H21" s="92">
        <f t="shared" si="10"/>
        <v>6804</v>
      </c>
      <c r="I21" s="45">
        <f t="shared" si="11"/>
        <v>6804</v>
      </c>
      <c r="K21" s="59">
        <f t="shared" si="3"/>
        <v>44883</v>
      </c>
      <c r="L21">
        <f t="shared" si="12"/>
        <v>140</v>
      </c>
      <c r="M21" s="39">
        <v>5</v>
      </c>
      <c r="N21" s="40">
        <f t="shared" si="13"/>
        <v>90000</v>
      </c>
      <c r="O21" s="40">
        <f t="shared" si="4"/>
        <v>7560</v>
      </c>
      <c r="P21" s="40">
        <f t="shared" si="14"/>
        <v>7560</v>
      </c>
      <c r="Q21" s="41">
        <f t="shared" si="15"/>
        <v>0</v>
      </c>
      <c r="R21" s="92">
        <f t="shared" si="16"/>
        <v>6804</v>
      </c>
      <c r="S21" s="45">
        <f t="shared" si="17"/>
        <v>6804</v>
      </c>
      <c r="V21" s="59">
        <f t="shared" si="5"/>
        <v>44883</v>
      </c>
      <c r="W21">
        <f t="shared" si="18"/>
        <v>140</v>
      </c>
      <c r="X21" s="39">
        <v>5</v>
      </c>
      <c r="Y21" s="40">
        <f t="shared" si="19"/>
        <v>90000</v>
      </c>
      <c r="Z21" s="40">
        <f t="shared" si="6"/>
        <v>7560</v>
      </c>
      <c r="AA21" s="40">
        <f t="shared" si="20"/>
        <v>7560</v>
      </c>
      <c r="AB21" s="41">
        <f t="shared" si="21"/>
        <v>0</v>
      </c>
      <c r="AC21" s="92">
        <f t="shared" si="22"/>
        <v>6804</v>
      </c>
      <c r="AD21" s="45">
        <f t="shared" si="23"/>
        <v>6804</v>
      </c>
    </row>
    <row r="22" spans="1:30" x14ac:dyDescent="0.25">
      <c r="A22" s="59">
        <f t="shared" si="0"/>
        <v>44911</v>
      </c>
      <c r="B22">
        <f t="shared" si="1"/>
        <v>168</v>
      </c>
      <c r="C22" s="39">
        <v>6</v>
      </c>
      <c r="D22" s="40">
        <f t="shared" si="7"/>
        <v>90000</v>
      </c>
      <c r="E22" s="40">
        <f t="shared" si="2"/>
        <v>7560</v>
      </c>
      <c r="F22" s="40">
        <f t="shared" si="8"/>
        <v>7560</v>
      </c>
      <c r="G22" s="41">
        <f t="shared" si="9"/>
        <v>0</v>
      </c>
      <c r="H22" s="92">
        <f t="shared" si="10"/>
        <v>6804</v>
      </c>
      <c r="I22" s="45">
        <f t="shared" si="11"/>
        <v>6804</v>
      </c>
      <c r="K22" s="59">
        <f t="shared" si="3"/>
        <v>44911</v>
      </c>
      <c r="L22">
        <f t="shared" si="12"/>
        <v>168</v>
      </c>
      <c r="M22" s="39">
        <v>6</v>
      </c>
      <c r="N22" s="40">
        <f t="shared" si="13"/>
        <v>90000</v>
      </c>
      <c r="O22" s="40">
        <f t="shared" si="4"/>
        <v>7560</v>
      </c>
      <c r="P22" s="40">
        <f t="shared" si="14"/>
        <v>7560</v>
      </c>
      <c r="Q22" s="41">
        <f t="shared" si="15"/>
        <v>0</v>
      </c>
      <c r="R22" s="92">
        <f t="shared" si="16"/>
        <v>6804</v>
      </c>
      <c r="S22" s="45">
        <f t="shared" si="17"/>
        <v>6804</v>
      </c>
      <c r="V22" s="59">
        <f t="shared" si="5"/>
        <v>44911</v>
      </c>
      <c r="W22">
        <f t="shared" si="18"/>
        <v>168</v>
      </c>
      <c r="X22" s="39">
        <v>6</v>
      </c>
      <c r="Y22" s="40">
        <f t="shared" si="19"/>
        <v>90000</v>
      </c>
      <c r="Z22" s="40">
        <f t="shared" si="6"/>
        <v>7560</v>
      </c>
      <c r="AA22" s="40">
        <f t="shared" si="20"/>
        <v>7560</v>
      </c>
      <c r="AB22" s="41">
        <f t="shared" si="21"/>
        <v>0</v>
      </c>
      <c r="AC22" s="92">
        <f t="shared" si="22"/>
        <v>6804</v>
      </c>
      <c r="AD22" s="45">
        <f t="shared" si="23"/>
        <v>6804</v>
      </c>
    </row>
    <row r="23" spans="1:30" x14ac:dyDescent="0.25">
      <c r="A23" s="59">
        <f t="shared" si="0"/>
        <v>44939</v>
      </c>
      <c r="B23">
        <f t="shared" si="1"/>
        <v>196</v>
      </c>
      <c r="C23" s="39">
        <v>7</v>
      </c>
      <c r="D23" s="40">
        <f t="shared" si="7"/>
        <v>90000</v>
      </c>
      <c r="E23" s="40">
        <f t="shared" si="2"/>
        <v>7560</v>
      </c>
      <c r="F23" s="40">
        <f t="shared" si="8"/>
        <v>7560</v>
      </c>
      <c r="G23" s="41">
        <f t="shared" si="9"/>
        <v>0</v>
      </c>
      <c r="H23" s="92">
        <f t="shared" si="10"/>
        <v>6804</v>
      </c>
      <c r="I23" s="45">
        <f t="shared" si="11"/>
        <v>6804</v>
      </c>
      <c r="K23" s="59">
        <f t="shared" si="3"/>
        <v>44939</v>
      </c>
      <c r="L23">
        <f t="shared" si="12"/>
        <v>196</v>
      </c>
      <c r="M23" s="39">
        <v>7</v>
      </c>
      <c r="N23" s="40">
        <f t="shared" si="13"/>
        <v>90000</v>
      </c>
      <c r="O23" s="40">
        <f t="shared" si="4"/>
        <v>7560</v>
      </c>
      <c r="P23" s="40">
        <f t="shared" si="14"/>
        <v>7560</v>
      </c>
      <c r="Q23" s="41">
        <f t="shared" si="15"/>
        <v>0</v>
      </c>
      <c r="R23" s="92">
        <f t="shared" si="16"/>
        <v>6804</v>
      </c>
      <c r="S23" s="45">
        <f t="shared" si="17"/>
        <v>6804</v>
      </c>
      <c r="V23" s="59">
        <f t="shared" si="5"/>
        <v>44939</v>
      </c>
      <c r="W23">
        <f t="shared" si="18"/>
        <v>196</v>
      </c>
      <c r="X23" s="39">
        <v>7</v>
      </c>
      <c r="Y23" s="40">
        <f t="shared" si="19"/>
        <v>90000</v>
      </c>
      <c r="Z23" s="40">
        <f t="shared" si="6"/>
        <v>7560</v>
      </c>
      <c r="AA23" s="40">
        <f t="shared" si="20"/>
        <v>7560</v>
      </c>
      <c r="AB23" s="41">
        <f t="shared" si="21"/>
        <v>0</v>
      </c>
      <c r="AC23" s="92">
        <f t="shared" si="22"/>
        <v>6804</v>
      </c>
      <c r="AD23" s="45">
        <f t="shared" si="23"/>
        <v>6804</v>
      </c>
    </row>
    <row r="24" spans="1:30" x14ac:dyDescent="0.25">
      <c r="A24" s="59">
        <f t="shared" si="0"/>
        <v>44967</v>
      </c>
      <c r="B24">
        <f t="shared" si="1"/>
        <v>224</v>
      </c>
      <c r="C24" s="39">
        <v>8</v>
      </c>
      <c r="D24" s="40">
        <f t="shared" si="7"/>
        <v>90000</v>
      </c>
      <c r="E24" s="40">
        <f t="shared" si="2"/>
        <v>7560</v>
      </c>
      <c r="F24" s="40">
        <f t="shared" si="8"/>
        <v>7560</v>
      </c>
      <c r="G24" s="41">
        <f t="shared" si="9"/>
        <v>0</v>
      </c>
      <c r="H24" s="92">
        <f t="shared" si="10"/>
        <v>6804</v>
      </c>
      <c r="I24" s="45">
        <f t="shared" si="11"/>
        <v>6804</v>
      </c>
      <c r="K24" s="59">
        <f t="shared" si="3"/>
        <v>44967</v>
      </c>
      <c r="L24">
        <f t="shared" si="12"/>
        <v>224</v>
      </c>
      <c r="M24" s="39">
        <v>8</v>
      </c>
      <c r="N24" s="40">
        <f t="shared" si="13"/>
        <v>90000</v>
      </c>
      <c r="O24" s="40">
        <f t="shared" si="4"/>
        <v>7560</v>
      </c>
      <c r="P24" s="40">
        <f t="shared" si="14"/>
        <v>7560</v>
      </c>
      <c r="Q24" s="41">
        <f t="shared" si="15"/>
        <v>0</v>
      </c>
      <c r="R24" s="92">
        <f t="shared" si="16"/>
        <v>6804</v>
      </c>
      <c r="S24" s="45">
        <f t="shared" si="17"/>
        <v>6804</v>
      </c>
      <c r="V24" s="59">
        <f t="shared" si="5"/>
        <v>44967</v>
      </c>
      <c r="W24">
        <f t="shared" si="18"/>
        <v>224</v>
      </c>
      <c r="X24" s="39">
        <v>8</v>
      </c>
      <c r="Y24" s="40">
        <f t="shared" si="19"/>
        <v>90000</v>
      </c>
      <c r="Z24" s="40">
        <f t="shared" si="6"/>
        <v>7560</v>
      </c>
      <c r="AA24" s="40">
        <f t="shared" si="20"/>
        <v>7560</v>
      </c>
      <c r="AB24" s="41">
        <f t="shared" si="21"/>
        <v>0</v>
      </c>
      <c r="AC24" s="92">
        <f t="shared" si="22"/>
        <v>6804</v>
      </c>
      <c r="AD24" s="45">
        <f t="shared" si="23"/>
        <v>6804</v>
      </c>
    </row>
    <row r="25" spans="1:30" x14ac:dyDescent="0.25">
      <c r="A25" s="59">
        <f t="shared" si="0"/>
        <v>44995</v>
      </c>
      <c r="B25">
        <f t="shared" si="1"/>
        <v>252</v>
      </c>
      <c r="C25" s="39">
        <v>9</v>
      </c>
      <c r="D25" s="40">
        <f t="shared" si="7"/>
        <v>90000</v>
      </c>
      <c r="E25" s="40">
        <f t="shared" si="2"/>
        <v>7560</v>
      </c>
      <c r="F25" s="40">
        <f t="shared" si="8"/>
        <v>7560</v>
      </c>
      <c r="G25" s="41">
        <f t="shared" si="9"/>
        <v>0</v>
      </c>
      <c r="H25" s="92">
        <f t="shared" si="10"/>
        <v>6804</v>
      </c>
      <c r="I25" s="45">
        <f t="shared" si="11"/>
        <v>6804</v>
      </c>
      <c r="K25" s="59">
        <f t="shared" si="3"/>
        <v>44995</v>
      </c>
      <c r="L25">
        <f t="shared" si="12"/>
        <v>252</v>
      </c>
      <c r="M25" s="39">
        <v>9</v>
      </c>
      <c r="N25" s="40">
        <f t="shared" si="13"/>
        <v>90000</v>
      </c>
      <c r="O25" s="40">
        <f t="shared" si="4"/>
        <v>7560</v>
      </c>
      <c r="P25" s="40">
        <f t="shared" si="14"/>
        <v>7560</v>
      </c>
      <c r="Q25" s="41">
        <f t="shared" si="15"/>
        <v>0</v>
      </c>
      <c r="R25" s="92">
        <f t="shared" si="16"/>
        <v>6804</v>
      </c>
      <c r="S25" s="45">
        <f t="shared" si="17"/>
        <v>6804</v>
      </c>
      <c r="V25" s="59">
        <f t="shared" si="5"/>
        <v>44995</v>
      </c>
      <c r="W25">
        <f t="shared" si="18"/>
        <v>252</v>
      </c>
      <c r="X25" s="39">
        <v>9</v>
      </c>
      <c r="Y25" s="40">
        <f t="shared" si="19"/>
        <v>90000</v>
      </c>
      <c r="Z25" s="40">
        <f t="shared" si="6"/>
        <v>7560</v>
      </c>
      <c r="AA25" s="40">
        <f t="shared" si="20"/>
        <v>7560</v>
      </c>
      <c r="AB25" s="41">
        <f t="shared" si="21"/>
        <v>0</v>
      </c>
      <c r="AC25" s="92">
        <f t="shared" si="22"/>
        <v>6804</v>
      </c>
      <c r="AD25" s="45">
        <f t="shared" si="23"/>
        <v>6804</v>
      </c>
    </row>
    <row r="26" spans="1:30" x14ac:dyDescent="0.25">
      <c r="A26" s="59">
        <f t="shared" si="0"/>
        <v>45023</v>
      </c>
      <c r="B26">
        <f t="shared" si="1"/>
        <v>280</v>
      </c>
      <c r="C26" s="39">
        <v>10</v>
      </c>
      <c r="D26" s="40">
        <f t="shared" si="7"/>
        <v>90000</v>
      </c>
      <c r="E26" s="40">
        <f t="shared" si="2"/>
        <v>7560</v>
      </c>
      <c r="F26" s="40">
        <f t="shared" si="8"/>
        <v>7560</v>
      </c>
      <c r="G26" s="41">
        <f t="shared" si="9"/>
        <v>0</v>
      </c>
      <c r="H26" s="92">
        <f t="shared" si="10"/>
        <v>6804</v>
      </c>
      <c r="I26" s="45">
        <f t="shared" si="11"/>
        <v>6804</v>
      </c>
      <c r="K26" s="59">
        <f t="shared" si="3"/>
        <v>45023</v>
      </c>
      <c r="L26">
        <f t="shared" si="12"/>
        <v>280</v>
      </c>
      <c r="M26" s="39">
        <v>10</v>
      </c>
      <c r="N26" s="40">
        <f t="shared" si="13"/>
        <v>90000</v>
      </c>
      <c r="O26" s="40">
        <f t="shared" si="4"/>
        <v>7560</v>
      </c>
      <c r="P26" s="40">
        <f t="shared" si="14"/>
        <v>7560</v>
      </c>
      <c r="Q26" s="41">
        <f t="shared" si="15"/>
        <v>0</v>
      </c>
      <c r="R26" s="92">
        <f t="shared" si="16"/>
        <v>6804</v>
      </c>
      <c r="S26" s="45">
        <f t="shared" si="17"/>
        <v>6804</v>
      </c>
      <c r="V26" s="59">
        <f t="shared" si="5"/>
        <v>45023</v>
      </c>
      <c r="W26">
        <f t="shared" si="18"/>
        <v>280</v>
      </c>
      <c r="X26" s="39">
        <v>10</v>
      </c>
      <c r="Y26" s="40">
        <f t="shared" si="19"/>
        <v>90000</v>
      </c>
      <c r="Z26" s="40">
        <f t="shared" si="6"/>
        <v>7560</v>
      </c>
      <c r="AA26" s="40">
        <f t="shared" si="20"/>
        <v>7560</v>
      </c>
      <c r="AB26" s="41">
        <f t="shared" si="21"/>
        <v>0</v>
      </c>
      <c r="AC26" s="92">
        <f t="shared" si="22"/>
        <v>6804</v>
      </c>
      <c r="AD26" s="45">
        <f t="shared" si="23"/>
        <v>6804</v>
      </c>
    </row>
    <row r="27" spans="1:30" x14ac:dyDescent="0.25">
      <c r="A27" s="59">
        <f t="shared" si="0"/>
        <v>45051</v>
      </c>
      <c r="B27">
        <f t="shared" si="1"/>
        <v>308</v>
      </c>
      <c r="C27" s="39">
        <v>11</v>
      </c>
      <c r="D27" s="40">
        <f t="shared" si="7"/>
        <v>90000</v>
      </c>
      <c r="E27" s="40">
        <f>$F$17</f>
        <v>7560</v>
      </c>
      <c r="F27" s="40">
        <f t="shared" si="8"/>
        <v>7560</v>
      </c>
      <c r="G27" s="41">
        <f t="shared" si="9"/>
        <v>0</v>
      </c>
      <c r="H27" s="92">
        <f t="shared" si="10"/>
        <v>6804</v>
      </c>
      <c r="I27" s="45">
        <f t="shared" si="11"/>
        <v>6804</v>
      </c>
      <c r="K27" s="59">
        <f t="shared" si="3"/>
        <v>45051</v>
      </c>
      <c r="L27">
        <f t="shared" si="12"/>
        <v>308</v>
      </c>
      <c r="M27" s="39">
        <v>11</v>
      </c>
      <c r="N27" s="40">
        <f t="shared" si="13"/>
        <v>90000</v>
      </c>
      <c r="O27" s="40">
        <f>$F$17</f>
        <v>7560</v>
      </c>
      <c r="P27" s="40">
        <f t="shared" si="14"/>
        <v>7560</v>
      </c>
      <c r="Q27" s="41">
        <f t="shared" si="15"/>
        <v>0</v>
      </c>
      <c r="R27" s="92">
        <f t="shared" si="16"/>
        <v>6804</v>
      </c>
      <c r="S27" s="45">
        <f t="shared" si="17"/>
        <v>6804</v>
      </c>
      <c r="V27" s="59">
        <f t="shared" si="5"/>
        <v>45051</v>
      </c>
      <c r="W27">
        <f t="shared" si="18"/>
        <v>308</v>
      </c>
      <c r="X27" s="39">
        <v>11</v>
      </c>
      <c r="Y27" s="40">
        <f t="shared" si="19"/>
        <v>90000</v>
      </c>
      <c r="Z27" s="40">
        <f>$F$17</f>
        <v>7560</v>
      </c>
      <c r="AA27" s="40">
        <f t="shared" si="20"/>
        <v>7560</v>
      </c>
      <c r="AB27" s="41">
        <f t="shared" si="21"/>
        <v>0</v>
      </c>
      <c r="AC27" s="92">
        <f t="shared" si="22"/>
        <v>6804</v>
      </c>
      <c r="AD27" s="45">
        <f t="shared" si="23"/>
        <v>6804</v>
      </c>
    </row>
    <row r="28" spans="1:30" x14ac:dyDescent="0.25">
      <c r="A28" s="59">
        <f t="shared" si="0"/>
        <v>45079</v>
      </c>
      <c r="B28">
        <f t="shared" si="1"/>
        <v>336</v>
      </c>
      <c r="C28" s="39">
        <v>12</v>
      </c>
      <c r="D28" s="40">
        <f t="shared" si="7"/>
        <v>90000</v>
      </c>
      <c r="E28" s="40">
        <f t="shared" si="2"/>
        <v>7560</v>
      </c>
      <c r="F28" s="40">
        <f t="shared" si="8"/>
        <v>7560</v>
      </c>
      <c r="G28" s="41">
        <f t="shared" si="9"/>
        <v>0</v>
      </c>
      <c r="H28" s="92">
        <f t="shared" si="10"/>
        <v>6804</v>
      </c>
      <c r="I28" s="45">
        <f t="shared" si="11"/>
        <v>6804</v>
      </c>
      <c r="K28" s="59">
        <f t="shared" si="3"/>
        <v>45079</v>
      </c>
      <c r="L28">
        <f t="shared" si="12"/>
        <v>336</v>
      </c>
      <c r="M28" s="39">
        <v>12</v>
      </c>
      <c r="N28" s="40">
        <f t="shared" si="13"/>
        <v>90000</v>
      </c>
      <c r="O28" s="40">
        <f t="shared" si="4"/>
        <v>7560</v>
      </c>
      <c r="P28" s="40">
        <f t="shared" si="14"/>
        <v>7560</v>
      </c>
      <c r="Q28" s="41">
        <f t="shared" si="15"/>
        <v>0</v>
      </c>
      <c r="R28" s="92">
        <f t="shared" si="16"/>
        <v>6804</v>
      </c>
      <c r="S28" s="45">
        <f t="shared" si="17"/>
        <v>6804</v>
      </c>
      <c r="V28" s="59">
        <f t="shared" si="5"/>
        <v>45079</v>
      </c>
      <c r="W28">
        <f t="shared" si="18"/>
        <v>336</v>
      </c>
      <c r="X28" s="39">
        <v>12</v>
      </c>
      <c r="Y28" s="40">
        <f t="shared" si="19"/>
        <v>90000</v>
      </c>
      <c r="Z28" s="40">
        <f t="shared" si="6"/>
        <v>7560</v>
      </c>
      <c r="AA28" s="40">
        <f t="shared" si="20"/>
        <v>7560</v>
      </c>
      <c r="AB28" s="41">
        <f t="shared" si="21"/>
        <v>0</v>
      </c>
      <c r="AC28" s="92">
        <f t="shared" si="22"/>
        <v>6804</v>
      </c>
      <c r="AD28" s="45">
        <f t="shared" si="23"/>
        <v>6804</v>
      </c>
    </row>
    <row r="29" spans="1:30" x14ac:dyDescent="0.25">
      <c r="A29" s="59">
        <f t="shared" si="0"/>
        <v>45107</v>
      </c>
      <c r="B29">
        <f t="shared" si="1"/>
        <v>364</v>
      </c>
      <c r="C29" s="39">
        <v>13</v>
      </c>
      <c r="D29" s="40">
        <f>D28-G28</f>
        <v>90000</v>
      </c>
      <c r="E29" s="40">
        <f>$F$17+D29</f>
        <v>97560</v>
      </c>
      <c r="F29" s="40">
        <f>ROUND(D29*$D$4,2)*$D$6</f>
        <v>7560</v>
      </c>
      <c r="G29" s="41">
        <f>E29-F29</f>
        <v>90000</v>
      </c>
      <c r="H29" s="92">
        <f>ROUND(D29*$E$4,2)*$D$6</f>
        <v>6804</v>
      </c>
      <c r="I29" s="45">
        <f>G29+H29</f>
        <v>96804</v>
      </c>
      <c r="K29" s="59">
        <f>K19+L29-L19</f>
        <v>45107</v>
      </c>
      <c r="L29">
        <f t="shared" si="12"/>
        <v>364</v>
      </c>
      <c r="M29" s="39">
        <v>13</v>
      </c>
      <c r="N29" s="40">
        <f>N28-Q28</f>
        <v>90000</v>
      </c>
      <c r="O29" s="40">
        <f>$F$17+N29</f>
        <v>97560</v>
      </c>
      <c r="P29" s="40">
        <f>ROUND(N29*$D$4,2)*$D$6</f>
        <v>7560</v>
      </c>
      <c r="Q29" s="41">
        <f>O29-P29</f>
        <v>90000</v>
      </c>
      <c r="R29" s="92">
        <f>ROUND(N29*$E$4,2)*$D$6</f>
        <v>6804</v>
      </c>
      <c r="S29" s="45">
        <f>Q29+R29</f>
        <v>96804</v>
      </c>
      <c r="V29" s="59">
        <f t="shared" si="5"/>
        <v>45107</v>
      </c>
      <c r="W29">
        <f t="shared" si="18"/>
        <v>364</v>
      </c>
      <c r="X29" s="39">
        <v>13</v>
      </c>
      <c r="Y29" s="40">
        <f>Y28-AB28</f>
        <v>90000</v>
      </c>
      <c r="Z29" s="40">
        <f>$F$17+Y29</f>
        <v>97560</v>
      </c>
      <c r="AA29" s="40">
        <f>ROUND(Y29*$D$4,2)*$D$6</f>
        <v>7560</v>
      </c>
      <c r="AB29" s="41">
        <f>Z29-AA29</f>
        <v>90000</v>
      </c>
      <c r="AC29" s="92">
        <f>ROUND(Y29*$E$4,2)*$D$6</f>
        <v>6804</v>
      </c>
      <c r="AD29" s="45">
        <f>AB29+AC29</f>
        <v>96804</v>
      </c>
    </row>
    <row r="30" spans="1:30" ht="15.75" thickBot="1" x14ac:dyDescent="0.3">
      <c r="C30" s="136" t="s">
        <v>20</v>
      </c>
      <c r="D30" s="137"/>
      <c r="E30" s="122">
        <f>SUM(E16:E29)</f>
        <v>188280</v>
      </c>
      <c r="F30" s="122">
        <f>SUM(F16:F29)</f>
        <v>98280</v>
      </c>
      <c r="G30" s="47">
        <f>SUM(G16:G29)</f>
        <v>90000</v>
      </c>
      <c r="H30" s="48">
        <f>SUM(H17:H29)</f>
        <v>88452</v>
      </c>
      <c r="I30" s="49">
        <f>G30+H30</f>
        <v>178452</v>
      </c>
      <c r="K30" s="59"/>
      <c r="M30" s="136" t="s">
        <v>20</v>
      </c>
      <c r="N30" s="137"/>
      <c r="O30" s="122">
        <f>SUM(O16:O29)</f>
        <v>188280</v>
      </c>
      <c r="P30" s="122">
        <f>SUM(P16:P29)</f>
        <v>98280</v>
      </c>
      <c r="Q30" s="47">
        <f>SUM(Q16:Q29)</f>
        <v>90000</v>
      </c>
      <c r="R30" s="48">
        <f>SUM(R17:R29)</f>
        <v>88452</v>
      </c>
      <c r="S30" s="49">
        <f>Q30+R30</f>
        <v>178452</v>
      </c>
      <c r="V30" s="59"/>
      <c r="X30" s="136" t="s">
        <v>20</v>
      </c>
      <c r="Y30" s="137"/>
      <c r="Z30" s="122">
        <f>SUM(Z16:Z29)</f>
        <v>188280</v>
      </c>
      <c r="AA30" s="122">
        <f>SUM(AA16:AA29)</f>
        <v>98280</v>
      </c>
      <c r="AB30" s="47">
        <f>SUM(AB16:AB29)</f>
        <v>90000</v>
      </c>
      <c r="AC30" s="48">
        <f>SUM(AC17:AC29)</f>
        <v>88452</v>
      </c>
      <c r="AD30" s="49">
        <f>AB30+AC30</f>
        <v>178452</v>
      </c>
    </row>
    <row r="31" spans="1:30" x14ac:dyDescent="0.25">
      <c r="E31" s="28">
        <f>E30/G30</f>
        <v>2.0920000000000001</v>
      </c>
      <c r="I31" s="29">
        <f>I30/G30</f>
        <v>1.9827999999999999</v>
      </c>
      <c r="K31" s="59"/>
      <c r="O31" s="28">
        <f>O30/Q30</f>
        <v>2.0920000000000001</v>
      </c>
      <c r="S31" s="29">
        <f>S30/Q30</f>
        <v>1.9827999999999999</v>
      </c>
      <c r="V31" s="59"/>
      <c r="Z31" s="28">
        <f>Z30/AB30</f>
        <v>2.0920000000000001</v>
      </c>
      <c r="AD31" s="29">
        <f>AD30/AB30</f>
        <v>1.9827999999999999</v>
      </c>
    </row>
    <row r="33" spans="1:35" ht="15.75" thickBot="1" x14ac:dyDescent="0.3"/>
    <row r="34" spans="1:35" ht="75" x14ac:dyDescent="0.25">
      <c r="B34" s="63" t="s">
        <v>43</v>
      </c>
      <c r="C34" s="9" t="s">
        <v>45</v>
      </c>
      <c r="D34" s="10" t="s">
        <v>65</v>
      </c>
      <c r="E34" s="10" t="s">
        <v>46</v>
      </c>
      <c r="F34" s="10" t="s">
        <v>47</v>
      </c>
      <c r="G34" s="10" t="s">
        <v>48</v>
      </c>
      <c r="H34" s="10" t="s">
        <v>69</v>
      </c>
      <c r="I34" s="11" t="s">
        <v>75</v>
      </c>
      <c r="L34" s="67" t="s">
        <v>94</v>
      </c>
      <c r="M34" s="9" t="s">
        <v>45</v>
      </c>
      <c r="N34" s="10" t="s">
        <v>65</v>
      </c>
      <c r="O34" s="10" t="s">
        <v>95</v>
      </c>
      <c r="P34" s="10" t="s">
        <v>47</v>
      </c>
      <c r="Q34" s="10" t="s">
        <v>48</v>
      </c>
      <c r="R34" s="10" t="s">
        <v>69</v>
      </c>
      <c r="S34" s="11" t="s">
        <v>49</v>
      </c>
      <c r="Z34" s="67" t="s">
        <v>94</v>
      </c>
      <c r="AA34" s="9" t="s">
        <v>45</v>
      </c>
      <c r="AB34" s="10" t="s">
        <v>65</v>
      </c>
      <c r="AC34" s="10" t="s">
        <v>95</v>
      </c>
      <c r="AD34" s="10" t="s">
        <v>47</v>
      </c>
      <c r="AE34" s="10" t="s">
        <v>48</v>
      </c>
      <c r="AF34" s="10" t="s">
        <v>69</v>
      </c>
      <c r="AG34" s="11" t="s">
        <v>49</v>
      </c>
    </row>
    <row r="35" spans="1:35" ht="15.75" thickBot="1" x14ac:dyDescent="0.3">
      <c r="C35" s="56">
        <f>D17</f>
        <v>90000</v>
      </c>
      <c r="D35" s="57">
        <f>F17+G17</f>
        <v>7560</v>
      </c>
      <c r="E35" s="57">
        <f>ROUND(C35*$D$4,2)*10</f>
        <v>2700</v>
      </c>
      <c r="F35" s="57">
        <f>G17</f>
        <v>0</v>
      </c>
      <c r="G35" s="44">
        <f>ROUND(C35*$E$4,2)*10</f>
        <v>2430</v>
      </c>
      <c r="H35" s="57">
        <f>C35+G35</f>
        <v>92430</v>
      </c>
      <c r="I35" s="30">
        <f>C35+E35</f>
        <v>92700</v>
      </c>
      <c r="M35" s="56">
        <f>N18</f>
        <v>90000</v>
      </c>
      <c r="N35" s="57">
        <f>O18</f>
        <v>7560</v>
      </c>
      <c r="O35" s="57">
        <f>ROUND(M35*$D$4,2)*(N44-N43)</f>
        <v>3240</v>
      </c>
      <c r="P35" s="57">
        <f>Q18</f>
        <v>0</v>
      </c>
      <c r="Q35" s="44">
        <f>ROUND(M35*$E$4,2)*(N44-N43)</f>
        <v>2916</v>
      </c>
      <c r="R35" s="57">
        <f>M35+Q35</f>
        <v>92916</v>
      </c>
      <c r="S35" s="30">
        <f>M35+O35</f>
        <v>93240</v>
      </c>
      <c r="Z35" s="78" t="s">
        <v>79</v>
      </c>
      <c r="AA35" s="56">
        <f>Y18</f>
        <v>90000</v>
      </c>
      <c r="AB35" s="57">
        <f>Z18</f>
        <v>7560</v>
      </c>
      <c r="AC35" s="57">
        <f>ROUND(AA35*$D$4,2)*(Z44-Z43)</f>
        <v>3240</v>
      </c>
      <c r="AD35" s="57">
        <f>AB18</f>
        <v>0</v>
      </c>
      <c r="AE35" s="44">
        <f>ROUND(AA35*$E$4,2)*(Z44-Z43)</f>
        <v>2916</v>
      </c>
      <c r="AF35" s="57">
        <f>AA35+AE35+AC38</f>
        <v>100476</v>
      </c>
      <c r="AG35" s="83">
        <f>AA35+AC35+AC38</f>
        <v>100800</v>
      </c>
    </row>
    <row r="37" spans="1:35" x14ac:dyDescent="0.25">
      <c r="AA37" t="s">
        <v>45</v>
      </c>
      <c r="AB37" t="s">
        <v>82</v>
      </c>
    </row>
    <row r="38" spans="1:35" ht="15.75" thickBot="1" x14ac:dyDescent="0.3">
      <c r="Z38" s="77" t="s">
        <v>80</v>
      </c>
      <c r="AA38" s="56">
        <f>AE43</f>
        <v>0</v>
      </c>
      <c r="AB38" s="57">
        <f>AD43+ROUND(AA38*$D$4,2)*(Z44-Z43)</f>
        <v>7560</v>
      </c>
      <c r="AC38" s="79">
        <f>AA38+AB38</f>
        <v>7560</v>
      </c>
    </row>
    <row r="40" spans="1:35" ht="45.75" thickBot="1" x14ac:dyDescent="0.3">
      <c r="B40" t="s">
        <v>70</v>
      </c>
      <c r="C40" s="32">
        <v>5000</v>
      </c>
      <c r="E40" t="s">
        <v>114</v>
      </c>
      <c r="K40" s="23" t="s">
        <v>84</v>
      </c>
      <c r="N40" t="s">
        <v>70</v>
      </c>
      <c r="O40" s="32">
        <v>8000</v>
      </c>
      <c r="Q40" t="s">
        <v>108</v>
      </c>
      <c r="W40" s="23" t="s">
        <v>84</v>
      </c>
      <c r="Z40" t="s">
        <v>70</v>
      </c>
      <c r="AA40" s="80">
        <f>AC40-AC38</f>
        <v>7440</v>
      </c>
      <c r="AB40" t="s">
        <v>81</v>
      </c>
      <c r="AC40" s="81">
        <v>15000</v>
      </c>
      <c r="AD40" t="s">
        <v>107</v>
      </c>
      <c r="AE40" t="s">
        <v>113</v>
      </c>
      <c r="AF40" s="68">
        <f>AD43+AC35</f>
        <v>10800</v>
      </c>
    </row>
    <row r="41" spans="1:35" ht="45" x14ac:dyDescent="0.25">
      <c r="A41" t="s">
        <v>77</v>
      </c>
      <c r="B41" t="s">
        <v>76</v>
      </c>
      <c r="C41" s="9" t="s">
        <v>15</v>
      </c>
      <c r="D41" s="10" t="s">
        <v>71</v>
      </c>
      <c r="E41" s="10" t="s">
        <v>73</v>
      </c>
      <c r="F41" s="10" t="s">
        <v>72</v>
      </c>
      <c r="G41" s="11" t="s">
        <v>19</v>
      </c>
      <c r="H41" s="24" t="s">
        <v>85</v>
      </c>
      <c r="I41" s="25" t="s">
        <v>86</v>
      </c>
      <c r="K41">
        <v>13</v>
      </c>
      <c r="M41" t="s">
        <v>77</v>
      </c>
      <c r="N41" t="s">
        <v>76</v>
      </c>
      <c r="O41" s="9" t="s">
        <v>15</v>
      </c>
      <c r="P41" s="10" t="s">
        <v>71</v>
      </c>
      <c r="Q41" s="10" t="s">
        <v>73</v>
      </c>
      <c r="R41" s="10" t="s">
        <v>72</v>
      </c>
      <c r="S41" s="11" t="s">
        <v>19</v>
      </c>
      <c r="T41" s="24" t="s">
        <v>85</v>
      </c>
      <c r="U41" s="25" t="s">
        <v>86</v>
      </c>
      <c r="W41">
        <v>12</v>
      </c>
      <c r="Y41" t="s">
        <v>77</v>
      </c>
      <c r="Z41" t="s">
        <v>76</v>
      </c>
      <c r="AA41" s="9" t="s">
        <v>15</v>
      </c>
      <c r="AB41" s="10" t="s">
        <v>71</v>
      </c>
      <c r="AC41" s="10" t="s">
        <v>73</v>
      </c>
      <c r="AD41" s="10" t="s">
        <v>72</v>
      </c>
      <c r="AE41" s="11" t="s">
        <v>19</v>
      </c>
      <c r="AF41" s="24" t="s">
        <v>85</v>
      </c>
      <c r="AG41" s="25" t="s">
        <v>86</v>
      </c>
      <c r="AI41">
        <v>12</v>
      </c>
    </row>
    <row r="42" spans="1:35" x14ac:dyDescent="0.25">
      <c r="A42" s="59">
        <v>44743</v>
      </c>
      <c r="B42">
        <v>0</v>
      </c>
      <c r="C42" s="39">
        <v>0</v>
      </c>
      <c r="D42" s="40">
        <f>D17</f>
        <v>90000</v>
      </c>
      <c r="E42" s="40"/>
      <c r="F42" s="40"/>
      <c r="G42" s="41"/>
      <c r="H42" s="42"/>
      <c r="I42" s="43"/>
      <c r="M42" s="59">
        <v>44743</v>
      </c>
      <c r="N42">
        <v>0</v>
      </c>
      <c r="O42" s="38">
        <v>0</v>
      </c>
      <c r="Q42" s="40"/>
      <c r="R42" s="40"/>
      <c r="T42" s="42"/>
      <c r="U42" s="43"/>
      <c r="Y42" s="59">
        <v>44743</v>
      </c>
      <c r="Z42">
        <v>0</v>
      </c>
      <c r="AA42" s="38">
        <v>0</v>
      </c>
      <c r="AC42" s="40"/>
      <c r="AD42" s="40"/>
      <c r="AF42" s="42"/>
      <c r="AG42" s="43"/>
    </row>
    <row r="43" spans="1:35" x14ac:dyDescent="0.25">
      <c r="A43" s="59">
        <f>A42+B43-B42</f>
        <v>44753</v>
      </c>
      <c r="B43" s="64">
        <v>10</v>
      </c>
      <c r="C43" s="39"/>
      <c r="E43" s="40"/>
      <c r="F43" s="72">
        <f>IF($E$35-$C$40&gt;0,$C$40,$E$35)</f>
        <v>2700</v>
      </c>
      <c r="G43" s="71">
        <f>C40-F43</f>
        <v>2300</v>
      </c>
      <c r="H43" s="42"/>
      <c r="I43" s="43"/>
      <c r="J43" s="61"/>
      <c r="M43" s="59">
        <f>M42+N43-N42</f>
        <v>44771</v>
      </c>
      <c r="N43">
        <v>28</v>
      </c>
      <c r="O43" s="38">
        <v>1</v>
      </c>
      <c r="P43" s="53">
        <f>N17</f>
        <v>90000</v>
      </c>
      <c r="Q43" s="53">
        <f>R43+S43</f>
        <v>7560</v>
      </c>
      <c r="R43" s="53">
        <f>ROUND(P43*$D$4,2)*(N43-N42)</f>
        <v>7560</v>
      </c>
      <c r="S43" s="54">
        <f>Q17</f>
        <v>0</v>
      </c>
      <c r="T43" s="92">
        <f>ROUND(P43*$E$4,2)*(N43-N42)</f>
        <v>6804</v>
      </c>
      <c r="U43" s="119">
        <f>S43+T43</f>
        <v>6804</v>
      </c>
      <c r="Y43" s="59">
        <f>Y42+Z43-Z42</f>
        <v>44771</v>
      </c>
      <c r="Z43">
        <v>28</v>
      </c>
      <c r="AA43" s="38">
        <v>1</v>
      </c>
      <c r="AB43" s="74">
        <f>Y17</f>
        <v>90000</v>
      </c>
      <c r="AC43" s="74">
        <f>AD43+AE43</f>
        <v>7560</v>
      </c>
      <c r="AD43" s="74">
        <f>ROUND(AB43*$D$4,2)*$D$6</f>
        <v>7560</v>
      </c>
      <c r="AE43" s="75">
        <f>AB17</f>
        <v>0</v>
      </c>
      <c r="AF43" s="87">
        <f>ROUND(AB43*$E$4,2)*(Z43-Z42)</f>
        <v>6804</v>
      </c>
      <c r="AG43" s="88">
        <f>AE43+AF43</f>
        <v>6804</v>
      </c>
    </row>
    <row r="44" spans="1:35" x14ac:dyDescent="0.25">
      <c r="A44" s="59">
        <f>A43+B44-B43</f>
        <v>44781</v>
      </c>
      <c r="B44" s="60">
        <f>B42+$D$6+B43</f>
        <v>38</v>
      </c>
      <c r="C44" s="39">
        <v>1</v>
      </c>
      <c r="D44" s="40">
        <f>D42-G42-G43</f>
        <v>87700</v>
      </c>
      <c r="E44" s="40">
        <f>$F44</f>
        <v>7366.8000000000011</v>
      </c>
      <c r="F44" s="40">
        <f>ROUND(D44*$D$4,2)*$D$6</f>
        <v>7366.8000000000011</v>
      </c>
      <c r="G44" s="41">
        <f>E44-F44</f>
        <v>0</v>
      </c>
      <c r="H44" s="92">
        <f>ROUND(D44*$E$4,2)*(B44-B43)</f>
        <v>6630.12</v>
      </c>
      <c r="I44" s="43">
        <f>G44+H44</f>
        <v>6630.12</v>
      </c>
      <c r="J44" s="61"/>
      <c r="M44" s="59">
        <f>M43+N44-N43</f>
        <v>44783</v>
      </c>
      <c r="N44" s="64">
        <v>40</v>
      </c>
      <c r="O44" s="38"/>
      <c r="R44" s="72">
        <f>IF($O$35-$O$40&gt;0,$O$40,$O$35)</f>
        <v>3240</v>
      </c>
      <c r="S44" s="72">
        <f>O40-R44</f>
        <v>4760</v>
      </c>
      <c r="T44" s="44"/>
      <c r="U44" s="45"/>
      <c r="Y44" s="59">
        <f>Y43+Z44-Z43</f>
        <v>44783</v>
      </c>
      <c r="Z44" s="64">
        <v>40</v>
      </c>
      <c r="AA44" s="38"/>
      <c r="AD44" s="72">
        <f>IF($AC$35-$AA$40&gt;0,$AA$40,$AC$35)</f>
        <v>3240</v>
      </c>
      <c r="AE44" s="72">
        <f>AA40-AD44</f>
        <v>4200</v>
      </c>
      <c r="AF44" s="44"/>
      <c r="AG44" s="45"/>
    </row>
    <row r="45" spans="1:35" x14ac:dyDescent="0.25">
      <c r="A45" s="59">
        <f>A44+B45-B44</f>
        <v>44809</v>
      </c>
      <c r="B45">
        <f>B44+$D$6</f>
        <v>66</v>
      </c>
      <c r="C45" s="39">
        <v>2</v>
      </c>
      <c r="D45" s="40">
        <f>$D$44</f>
        <v>87700</v>
      </c>
      <c r="E45" s="40">
        <f>$F45</f>
        <v>7366.8000000000011</v>
      </c>
      <c r="F45" s="40">
        <f>ROUND(D45*$D$4,2)*$D$6</f>
        <v>7366.8000000000011</v>
      </c>
      <c r="G45" s="41">
        <f>E45-F45</f>
        <v>0</v>
      </c>
      <c r="H45" s="92">
        <f>ROUND(D45*$E$4,2)*(B45-B44)</f>
        <v>6630.12</v>
      </c>
      <c r="I45" s="43">
        <f>G45+H45</f>
        <v>6630.12</v>
      </c>
      <c r="J45" s="60"/>
      <c r="M45" s="59">
        <f>M44+N45-N44</f>
        <v>44811</v>
      </c>
      <c r="N45">
        <f>N44+$D$6</f>
        <v>68</v>
      </c>
      <c r="O45" s="39">
        <v>2</v>
      </c>
      <c r="P45" s="40">
        <f>P43-S43-S44</f>
        <v>85240</v>
      </c>
      <c r="Q45" s="40">
        <f>$R45</f>
        <v>7160.16</v>
      </c>
      <c r="R45" s="40">
        <f>ROUND(P45*$D$4,2)*$D$6</f>
        <v>7160.16</v>
      </c>
      <c r="S45" s="41">
        <f>Q45-R45</f>
        <v>0</v>
      </c>
      <c r="T45" s="92">
        <f>ROUND(P45*$E$4,2)*(N45-N44)</f>
        <v>6444.2</v>
      </c>
      <c r="U45" s="43">
        <f>S45+T45</f>
        <v>6444.2</v>
      </c>
      <c r="Y45" s="59">
        <f>Y44+Z45-Z44</f>
        <v>44811</v>
      </c>
      <c r="Z45">
        <f>Z44+$D$6</f>
        <v>68</v>
      </c>
      <c r="AA45" s="39">
        <v>2</v>
      </c>
      <c r="AB45" s="40">
        <f>AB43-AE43-AE44</f>
        <v>85800</v>
      </c>
      <c r="AC45" s="40">
        <f>$AD45</f>
        <v>7207.1999999999989</v>
      </c>
      <c r="AD45" s="40">
        <f>ROUND(AB45*$D$4,2)*$D$6</f>
        <v>7207.1999999999989</v>
      </c>
      <c r="AE45" s="41">
        <f>AC45-AD45</f>
        <v>0</v>
      </c>
      <c r="AF45" s="92">
        <f>ROUND(AB45*$E$4,2)*(Z45-Z44)</f>
        <v>6486.48</v>
      </c>
      <c r="AG45" s="43">
        <f>AE45+AF45</f>
        <v>6486.48</v>
      </c>
    </row>
    <row r="46" spans="1:35" x14ac:dyDescent="0.25">
      <c r="A46" s="59">
        <f t="shared" ref="A46:A54" si="24">A45+B46-B45</f>
        <v>44837</v>
      </c>
      <c r="B46">
        <f t="shared" ref="B46:B55" si="25">B45+$D$6</f>
        <v>94</v>
      </c>
      <c r="C46" s="39">
        <v>3</v>
      </c>
      <c r="D46" s="40">
        <f t="shared" ref="D46:D55" si="26">$D$44</f>
        <v>87700</v>
      </c>
      <c r="E46" s="40">
        <f t="shared" ref="E46:E55" si="27">$F46</f>
        <v>7366.8000000000011</v>
      </c>
      <c r="F46" s="126">
        <f t="shared" ref="F46:F55" si="28">ROUND(D46*$D$4,2)*$D$6</f>
        <v>7366.8000000000011</v>
      </c>
      <c r="G46" s="41">
        <f t="shared" ref="G46:G55" si="29">E46-F46</f>
        <v>0</v>
      </c>
      <c r="H46" s="92">
        <f t="shared" ref="H46:H55" si="30">ROUND(D46*$E$4,2)*(B46-B45)</f>
        <v>6630.12</v>
      </c>
      <c r="I46" s="45">
        <f t="shared" ref="I46:I55" si="31">G46+H46</f>
        <v>6630.12</v>
      </c>
      <c r="J46" s="60"/>
      <c r="M46" s="59">
        <f t="shared" ref="M46:M56" si="32">M45+N46-N45</f>
        <v>44839</v>
      </c>
      <c r="N46">
        <f>N45+$D$6</f>
        <v>96</v>
      </c>
      <c r="O46" s="39">
        <v>3</v>
      </c>
      <c r="P46" s="40">
        <f>P45-S45</f>
        <v>85240</v>
      </c>
      <c r="Q46" s="40">
        <f>$R$46</f>
        <v>7160.16</v>
      </c>
      <c r="R46" s="126">
        <f>ROUND(P46*$D$4,2)*$D$6</f>
        <v>7160.16</v>
      </c>
      <c r="S46" s="41">
        <f>Q46-R46</f>
        <v>0</v>
      </c>
      <c r="T46" s="92">
        <f>ROUND(P46*$E$4,2)*(N46-N45)</f>
        <v>6444.2</v>
      </c>
      <c r="U46" s="45">
        <f>S46+T46</f>
        <v>6444.2</v>
      </c>
      <c r="Y46" s="59">
        <f t="shared" ref="Y46:Y56" si="33">Y45+Z46-Z45</f>
        <v>44839</v>
      </c>
      <c r="Z46">
        <f>Z45+$D$6</f>
        <v>96</v>
      </c>
      <c r="AA46" s="39">
        <v>3</v>
      </c>
      <c r="AB46" s="40">
        <f>AB45-AE45</f>
        <v>85800</v>
      </c>
      <c r="AC46" s="40">
        <f t="shared" ref="AC46:AC55" si="34">$AD46</f>
        <v>7207.1999999999989</v>
      </c>
      <c r="AD46" s="126">
        <f>ROUND(AB46*$D$4,2)*$D$6</f>
        <v>7207.1999999999989</v>
      </c>
      <c r="AE46" s="41">
        <f>AC46-AD46</f>
        <v>0</v>
      </c>
      <c r="AF46" s="92">
        <f>ROUND(AB46*$E$4,2)*(Z46-Z45)</f>
        <v>6486.48</v>
      </c>
      <c r="AG46" s="45">
        <f>AE46+AF46</f>
        <v>6486.48</v>
      </c>
    </row>
    <row r="47" spans="1:35" x14ac:dyDescent="0.25">
      <c r="A47" s="59">
        <f t="shared" si="24"/>
        <v>44865</v>
      </c>
      <c r="B47">
        <f t="shared" si="25"/>
        <v>122</v>
      </c>
      <c r="C47" s="39">
        <v>4</v>
      </c>
      <c r="D47" s="40">
        <f>$D$44</f>
        <v>87700</v>
      </c>
      <c r="E47" s="40">
        <f t="shared" si="27"/>
        <v>7366.8000000000011</v>
      </c>
      <c r="F47" s="126">
        <f t="shared" si="28"/>
        <v>7366.8000000000011</v>
      </c>
      <c r="G47" s="41">
        <f t="shared" si="29"/>
        <v>0</v>
      </c>
      <c r="H47" s="92">
        <f t="shared" si="30"/>
        <v>6630.12</v>
      </c>
      <c r="I47" s="45">
        <f t="shared" si="31"/>
        <v>6630.12</v>
      </c>
      <c r="J47" s="60"/>
      <c r="M47" s="59">
        <f t="shared" si="32"/>
        <v>44867</v>
      </c>
      <c r="N47">
        <f t="shared" ref="N47:N55" si="35">N46+$D$6</f>
        <v>124</v>
      </c>
      <c r="O47" s="39">
        <v>4</v>
      </c>
      <c r="P47" s="40">
        <f t="shared" ref="P47:P55" si="36">P46-S46</f>
        <v>85240</v>
      </c>
      <c r="Q47" s="40">
        <f t="shared" ref="Q47:Q55" si="37">$R$46</f>
        <v>7160.16</v>
      </c>
      <c r="R47" s="126">
        <f t="shared" ref="R47:R55" si="38">ROUND(P47*$D$4,2)*$D$6</f>
        <v>7160.16</v>
      </c>
      <c r="S47" s="41">
        <f t="shared" ref="S47:S55" si="39">Q47-R47</f>
        <v>0</v>
      </c>
      <c r="T47" s="92">
        <f t="shared" ref="T47:T55" si="40">ROUND(P47*$E$4,2)*(N47-N46)</f>
        <v>6444.2</v>
      </c>
      <c r="U47" s="45">
        <f t="shared" ref="U47:U55" si="41">S47+T47</f>
        <v>6444.2</v>
      </c>
      <c r="Y47" s="59">
        <f t="shared" si="33"/>
        <v>44867</v>
      </c>
      <c r="Z47">
        <f>Z46+$D$6</f>
        <v>124</v>
      </c>
      <c r="AA47" s="39">
        <v>4</v>
      </c>
      <c r="AB47" s="40">
        <f t="shared" ref="AB47:AB56" si="42">AB46-AE46</f>
        <v>85800</v>
      </c>
      <c r="AC47" s="40">
        <f t="shared" si="34"/>
        <v>7207.1999999999989</v>
      </c>
      <c r="AD47" s="126">
        <f t="shared" ref="AD47:AD55" si="43">ROUND(AB47*$D$4,2)*$D$6</f>
        <v>7207.1999999999989</v>
      </c>
      <c r="AE47" s="41">
        <f t="shared" ref="AE47:AE55" si="44">AC47-AD47</f>
        <v>0</v>
      </c>
      <c r="AF47" s="92">
        <f t="shared" ref="AF47:AF55" si="45">ROUND(AB47*$E$4,2)*(Z47-Z46)</f>
        <v>6486.48</v>
      </c>
      <c r="AG47" s="43">
        <f t="shared" ref="AG47:AG55" si="46">AE47+AF47</f>
        <v>6486.48</v>
      </c>
    </row>
    <row r="48" spans="1:35" x14ac:dyDescent="0.25">
      <c r="A48" s="59">
        <f t="shared" si="24"/>
        <v>44893</v>
      </c>
      <c r="B48">
        <f t="shared" si="25"/>
        <v>150</v>
      </c>
      <c r="C48" s="39">
        <v>5</v>
      </c>
      <c r="D48" s="40">
        <f t="shared" si="26"/>
        <v>87700</v>
      </c>
      <c r="E48" s="40">
        <f t="shared" si="27"/>
        <v>7366.8000000000011</v>
      </c>
      <c r="F48" s="126">
        <f t="shared" si="28"/>
        <v>7366.8000000000011</v>
      </c>
      <c r="G48" s="41">
        <f t="shared" si="29"/>
        <v>0</v>
      </c>
      <c r="H48" s="92">
        <f t="shared" si="30"/>
        <v>6630.12</v>
      </c>
      <c r="I48" s="45">
        <f t="shared" si="31"/>
        <v>6630.12</v>
      </c>
      <c r="J48" s="60"/>
      <c r="M48" s="59">
        <f t="shared" si="32"/>
        <v>44895</v>
      </c>
      <c r="N48">
        <f t="shared" si="35"/>
        <v>152</v>
      </c>
      <c r="O48" s="39">
        <v>5</v>
      </c>
      <c r="P48" s="40">
        <f t="shared" si="36"/>
        <v>85240</v>
      </c>
      <c r="Q48" s="40">
        <f t="shared" si="37"/>
        <v>7160.16</v>
      </c>
      <c r="R48" s="126">
        <f t="shared" si="38"/>
        <v>7160.16</v>
      </c>
      <c r="S48" s="41">
        <f t="shared" si="39"/>
        <v>0</v>
      </c>
      <c r="T48" s="92">
        <f t="shared" si="40"/>
        <v>6444.2</v>
      </c>
      <c r="U48" s="45">
        <f t="shared" si="41"/>
        <v>6444.2</v>
      </c>
      <c r="Y48" s="59">
        <f t="shared" si="33"/>
        <v>44895</v>
      </c>
      <c r="Z48">
        <f t="shared" ref="Z48:Z54" si="47">Z47+$D$6</f>
        <v>152</v>
      </c>
      <c r="AA48" s="39">
        <v>5</v>
      </c>
      <c r="AB48" s="40">
        <f t="shared" si="42"/>
        <v>85800</v>
      </c>
      <c r="AC48" s="40">
        <f t="shared" si="34"/>
        <v>7207.1999999999989</v>
      </c>
      <c r="AD48" s="126">
        <f t="shared" si="43"/>
        <v>7207.1999999999989</v>
      </c>
      <c r="AE48" s="41">
        <f t="shared" si="44"/>
        <v>0</v>
      </c>
      <c r="AF48" s="92">
        <f t="shared" si="45"/>
        <v>6486.48</v>
      </c>
      <c r="AG48" s="43">
        <f t="shared" si="46"/>
        <v>6486.48</v>
      </c>
    </row>
    <row r="49" spans="1:33" x14ac:dyDescent="0.25">
      <c r="A49" s="59">
        <f t="shared" si="24"/>
        <v>44921</v>
      </c>
      <c r="B49">
        <f t="shared" si="25"/>
        <v>178</v>
      </c>
      <c r="C49" s="39">
        <v>6</v>
      </c>
      <c r="D49" s="40">
        <f t="shared" si="26"/>
        <v>87700</v>
      </c>
      <c r="E49" s="40">
        <f t="shared" si="27"/>
        <v>7366.8000000000011</v>
      </c>
      <c r="F49" s="126">
        <f t="shared" si="28"/>
        <v>7366.8000000000011</v>
      </c>
      <c r="G49" s="41">
        <f t="shared" si="29"/>
        <v>0</v>
      </c>
      <c r="H49" s="92">
        <f t="shared" si="30"/>
        <v>6630.12</v>
      </c>
      <c r="I49" s="45">
        <f t="shared" si="31"/>
        <v>6630.12</v>
      </c>
      <c r="J49" s="60"/>
      <c r="M49" s="59">
        <f t="shared" si="32"/>
        <v>44923</v>
      </c>
      <c r="N49">
        <f t="shared" si="35"/>
        <v>180</v>
      </c>
      <c r="O49" s="39">
        <v>6</v>
      </c>
      <c r="P49" s="40">
        <f t="shared" si="36"/>
        <v>85240</v>
      </c>
      <c r="Q49" s="40">
        <f t="shared" si="37"/>
        <v>7160.16</v>
      </c>
      <c r="R49" s="126">
        <f t="shared" si="38"/>
        <v>7160.16</v>
      </c>
      <c r="S49" s="41">
        <f t="shared" si="39"/>
        <v>0</v>
      </c>
      <c r="T49" s="92">
        <f t="shared" si="40"/>
        <v>6444.2</v>
      </c>
      <c r="U49" s="45">
        <f t="shared" si="41"/>
        <v>6444.2</v>
      </c>
      <c r="Y49" s="59">
        <f t="shared" si="33"/>
        <v>44923</v>
      </c>
      <c r="Z49">
        <f t="shared" si="47"/>
        <v>180</v>
      </c>
      <c r="AA49" s="39">
        <v>6</v>
      </c>
      <c r="AB49" s="40">
        <f t="shared" si="42"/>
        <v>85800</v>
      </c>
      <c r="AC49" s="40">
        <f t="shared" si="34"/>
        <v>7207.1999999999989</v>
      </c>
      <c r="AD49" s="126">
        <f t="shared" si="43"/>
        <v>7207.1999999999989</v>
      </c>
      <c r="AE49" s="41">
        <f t="shared" si="44"/>
        <v>0</v>
      </c>
      <c r="AF49" s="92">
        <f t="shared" si="45"/>
        <v>6486.48</v>
      </c>
      <c r="AG49" s="43">
        <f t="shared" si="46"/>
        <v>6486.48</v>
      </c>
    </row>
    <row r="50" spans="1:33" x14ac:dyDescent="0.25">
      <c r="A50" s="59">
        <f t="shared" si="24"/>
        <v>44949</v>
      </c>
      <c r="B50">
        <f t="shared" si="25"/>
        <v>206</v>
      </c>
      <c r="C50" s="39">
        <v>7</v>
      </c>
      <c r="D50" s="40">
        <f t="shared" si="26"/>
        <v>87700</v>
      </c>
      <c r="E50" s="40">
        <f t="shared" si="27"/>
        <v>7366.8000000000011</v>
      </c>
      <c r="F50" s="126">
        <f t="shared" si="28"/>
        <v>7366.8000000000011</v>
      </c>
      <c r="G50" s="41">
        <f t="shared" si="29"/>
        <v>0</v>
      </c>
      <c r="H50" s="92">
        <f t="shared" si="30"/>
        <v>6630.12</v>
      </c>
      <c r="I50" s="45">
        <f t="shared" si="31"/>
        <v>6630.12</v>
      </c>
      <c r="J50" s="60"/>
      <c r="M50" s="59">
        <f t="shared" si="32"/>
        <v>44951</v>
      </c>
      <c r="N50">
        <f t="shared" si="35"/>
        <v>208</v>
      </c>
      <c r="O50" s="39">
        <v>7</v>
      </c>
      <c r="P50" s="40">
        <f t="shared" si="36"/>
        <v>85240</v>
      </c>
      <c r="Q50" s="40">
        <f t="shared" si="37"/>
        <v>7160.16</v>
      </c>
      <c r="R50" s="126">
        <f t="shared" si="38"/>
        <v>7160.16</v>
      </c>
      <c r="S50" s="41">
        <f t="shared" si="39"/>
        <v>0</v>
      </c>
      <c r="T50" s="92">
        <f t="shared" si="40"/>
        <v>6444.2</v>
      </c>
      <c r="U50" s="45">
        <f t="shared" si="41"/>
        <v>6444.2</v>
      </c>
      <c r="Y50" s="59">
        <f t="shared" si="33"/>
        <v>44951</v>
      </c>
      <c r="Z50">
        <f t="shared" si="47"/>
        <v>208</v>
      </c>
      <c r="AA50" s="39">
        <v>7</v>
      </c>
      <c r="AB50" s="40">
        <f t="shared" si="42"/>
        <v>85800</v>
      </c>
      <c r="AC50" s="40">
        <f t="shared" si="34"/>
        <v>7207.1999999999989</v>
      </c>
      <c r="AD50" s="126">
        <f t="shared" si="43"/>
        <v>7207.1999999999989</v>
      </c>
      <c r="AE50" s="41">
        <f t="shared" si="44"/>
        <v>0</v>
      </c>
      <c r="AF50" s="92">
        <f t="shared" si="45"/>
        <v>6486.48</v>
      </c>
      <c r="AG50" s="43">
        <f t="shared" si="46"/>
        <v>6486.48</v>
      </c>
    </row>
    <row r="51" spans="1:33" x14ac:dyDescent="0.25">
      <c r="A51" s="59">
        <f t="shared" si="24"/>
        <v>44977</v>
      </c>
      <c r="B51">
        <f t="shared" si="25"/>
        <v>234</v>
      </c>
      <c r="C51" s="39">
        <v>8</v>
      </c>
      <c r="D51" s="40">
        <f t="shared" si="26"/>
        <v>87700</v>
      </c>
      <c r="E51" s="40">
        <f t="shared" si="27"/>
        <v>7366.8000000000011</v>
      </c>
      <c r="F51" s="126">
        <f t="shared" si="28"/>
        <v>7366.8000000000011</v>
      </c>
      <c r="G51" s="41">
        <f t="shared" si="29"/>
        <v>0</v>
      </c>
      <c r="H51" s="92">
        <f t="shared" si="30"/>
        <v>6630.12</v>
      </c>
      <c r="I51" s="45">
        <f t="shared" si="31"/>
        <v>6630.12</v>
      </c>
      <c r="J51" s="60"/>
      <c r="M51" s="59">
        <f t="shared" si="32"/>
        <v>44979</v>
      </c>
      <c r="N51">
        <f t="shared" si="35"/>
        <v>236</v>
      </c>
      <c r="O51" s="39">
        <v>8</v>
      </c>
      <c r="P51" s="40">
        <f t="shared" si="36"/>
        <v>85240</v>
      </c>
      <c r="Q51" s="40">
        <f t="shared" si="37"/>
        <v>7160.16</v>
      </c>
      <c r="R51" s="126">
        <f t="shared" si="38"/>
        <v>7160.16</v>
      </c>
      <c r="S51" s="41">
        <f t="shared" si="39"/>
        <v>0</v>
      </c>
      <c r="T51" s="92">
        <f t="shared" si="40"/>
        <v>6444.2</v>
      </c>
      <c r="U51" s="45">
        <f t="shared" si="41"/>
        <v>6444.2</v>
      </c>
      <c r="Y51" s="59">
        <f t="shared" si="33"/>
        <v>44979</v>
      </c>
      <c r="Z51">
        <f t="shared" si="47"/>
        <v>236</v>
      </c>
      <c r="AA51" s="39">
        <v>8</v>
      </c>
      <c r="AB51" s="40">
        <f t="shared" si="42"/>
        <v>85800</v>
      </c>
      <c r="AC51" s="40">
        <f t="shared" si="34"/>
        <v>7207.1999999999989</v>
      </c>
      <c r="AD51" s="126">
        <f t="shared" si="43"/>
        <v>7207.1999999999989</v>
      </c>
      <c r="AE51" s="41">
        <f t="shared" si="44"/>
        <v>0</v>
      </c>
      <c r="AF51" s="92">
        <f t="shared" si="45"/>
        <v>6486.48</v>
      </c>
      <c r="AG51" s="43">
        <f t="shared" si="46"/>
        <v>6486.48</v>
      </c>
    </row>
    <row r="52" spans="1:33" x14ac:dyDescent="0.25">
      <c r="A52" s="59">
        <f t="shared" si="24"/>
        <v>45005</v>
      </c>
      <c r="B52">
        <f t="shared" si="25"/>
        <v>262</v>
      </c>
      <c r="C52" s="39">
        <v>9</v>
      </c>
      <c r="D52" s="40">
        <f t="shared" si="26"/>
        <v>87700</v>
      </c>
      <c r="E52" s="40">
        <f t="shared" si="27"/>
        <v>7366.8000000000011</v>
      </c>
      <c r="F52" s="126">
        <f t="shared" si="28"/>
        <v>7366.8000000000011</v>
      </c>
      <c r="G52" s="41">
        <f t="shared" si="29"/>
        <v>0</v>
      </c>
      <c r="H52" s="92">
        <f t="shared" si="30"/>
        <v>6630.12</v>
      </c>
      <c r="I52" s="45">
        <f t="shared" si="31"/>
        <v>6630.12</v>
      </c>
      <c r="J52" s="60"/>
      <c r="M52" s="59">
        <f t="shared" si="32"/>
        <v>45007</v>
      </c>
      <c r="N52">
        <f t="shared" si="35"/>
        <v>264</v>
      </c>
      <c r="O52" s="39">
        <v>9</v>
      </c>
      <c r="P52" s="40">
        <f t="shared" si="36"/>
        <v>85240</v>
      </c>
      <c r="Q52" s="40">
        <f t="shared" si="37"/>
        <v>7160.16</v>
      </c>
      <c r="R52" s="126">
        <f t="shared" si="38"/>
        <v>7160.16</v>
      </c>
      <c r="S52" s="41">
        <f t="shared" si="39"/>
        <v>0</v>
      </c>
      <c r="T52" s="92">
        <f t="shared" si="40"/>
        <v>6444.2</v>
      </c>
      <c r="U52" s="45">
        <f t="shared" si="41"/>
        <v>6444.2</v>
      </c>
      <c r="Y52" s="59">
        <f t="shared" si="33"/>
        <v>45007</v>
      </c>
      <c r="Z52">
        <f t="shared" si="47"/>
        <v>264</v>
      </c>
      <c r="AA52" s="39">
        <v>9</v>
      </c>
      <c r="AB52" s="40">
        <f t="shared" si="42"/>
        <v>85800</v>
      </c>
      <c r="AC52" s="40">
        <f t="shared" si="34"/>
        <v>7207.1999999999989</v>
      </c>
      <c r="AD52" s="126">
        <f t="shared" si="43"/>
        <v>7207.1999999999989</v>
      </c>
      <c r="AE52" s="41">
        <f t="shared" si="44"/>
        <v>0</v>
      </c>
      <c r="AF52" s="92">
        <f t="shared" si="45"/>
        <v>6486.48</v>
      </c>
      <c r="AG52" s="43">
        <f t="shared" si="46"/>
        <v>6486.48</v>
      </c>
    </row>
    <row r="53" spans="1:33" x14ac:dyDescent="0.25">
      <c r="A53" s="59">
        <f t="shared" si="24"/>
        <v>45033</v>
      </c>
      <c r="B53">
        <f t="shared" si="25"/>
        <v>290</v>
      </c>
      <c r="C53" s="39">
        <v>10</v>
      </c>
      <c r="D53" s="40">
        <f t="shared" si="26"/>
        <v>87700</v>
      </c>
      <c r="E53" s="40">
        <f t="shared" si="27"/>
        <v>7366.8000000000011</v>
      </c>
      <c r="F53" s="126">
        <f t="shared" si="28"/>
        <v>7366.8000000000011</v>
      </c>
      <c r="G53" s="41">
        <f t="shared" si="29"/>
        <v>0</v>
      </c>
      <c r="H53" s="92">
        <f t="shared" si="30"/>
        <v>6630.12</v>
      </c>
      <c r="I53" s="45">
        <f t="shared" si="31"/>
        <v>6630.12</v>
      </c>
      <c r="J53" s="60"/>
      <c r="M53" s="59">
        <f t="shared" si="32"/>
        <v>45035</v>
      </c>
      <c r="N53">
        <f t="shared" si="35"/>
        <v>292</v>
      </c>
      <c r="O53" s="39">
        <v>10</v>
      </c>
      <c r="P53" s="40">
        <f t="shared" si="36"/>
        <v>85240</v>
      </c>
      <c r="Q53" s="40">
        <f t="shared" si="37"/>
        <v>7160.16</v>
      </c>
      <c r="R53" s="126">
        <f t="shared" si="38"/>
        <v>7160.16</v>
      </c>
      <c r="S53" s="41">
        <f t="shared" si="39"/>
        <v>0</v>
      </c>
      <c r="T53" s="92">
        <f t="shared" si="40"/>
        <v>6444.2</v>
      </c>
      <c r="U53" s="45">
        <f t="shared" si="41"/>
        <v>6444.2</v>
      </c>
      <c r="Y53" s="59">
        <f t="shared" si="33"/>
        <v>45035</v>
      </c>
      <c r="Z53">
        <f t="shared" si="47"/>
        <v>292</v>
      </c>
      <c r="AA53" s="39">
        <v>10</v>
      </c>
      <c r="AB53" s="40">
        <f t="shared" si="42"/>
        <v>85800</v>
      </c>
      <c r="AC53" s="40">
        <f t="shared" si="34"/>
        <v>7207.1999999999989</v>
      </c>
      <c r="AD53" s="126">
        <f t="shared" si="43"/>
        <v>7207.1999999999989</v>
      </c>
      <c r="AE53" s="41">
        <f t="shared" si="44"/>
        <v>0</v>
      </c>
      <c r="AF53" s="92">
        <f t="shared" si="45"/>
        <v>6486.48</v>
      </c>
      <c r="AG53" s="43">
        <f t="shared" si="46"/>
        <v>6486.48</v>
      </c>
    </row>
    <row r="54" spans="1:33" x14ac:dyDescent="0.25">
      <c r="A54" s="59">
        <f t="shared" si="24"/>
        <v>45061</v>
      </c>
      <c r="B54">
        <f t="shared" si="25"/>
        <v>318</v>
      </c>
      <c r="C54" s="39">
        <v>11</v>
      </c>
      <c r="D54" s="40">
        <f t="shared" si="26"/>
        <v>87700</v>
      </c>
      <c r="E54" s="40">
        <f t="shared" si="27"/>
        <v>7366.8000000000011</v>
      </c>
      <c r="F54" s="126">
        <f t="shared" si="28"/>
        <v>7366.8000000000011</v>
      </c>
      <c r="G54" s="41">
        <f t="shared" si="29"/>
        <v>0</v>
      </c>
      <c r="H54" s="92">
        <f t="shared" si="30"/>
        <v>6630.12</v>
      </c>
      <c r="I54" s="45">
        <f t="shared" si="31"/>
        <v>6630.12</v>
      </c>
      <c r="J54" s="60"/>
      <c r="M54" s="59">
        <f t="shared" si="32"/>
        <v>45063</v>
      </c>
      <c r="N54">
        <f t="shared" si="35"/>
        <v>320</v>
      </c>
      <c r="O54" s="39">
        <v>11</v>
      </c>
      <c r="P54" s="40">
        <f t="shared" si="36"/>
        <v>85240</v>
      </c>
      <c r="Q54" s="40">
        <f t="shared" si="37"/>
        <v>7160.16</v>
      </c>
      <c r="R54" s="126">
        <f t="shared" si="38"/>
        <v>7160.16</v>
      </c>
      <c r="S54" s="41">
        <f t="shared" si="39"/>
        <v>0</v>
      </c>
      <c r="T54" s="92">
        <f t="shared" si="40"/>
        <v>6444.2</v>
      </c>
      <c r="U54" s="45">
        <f t="shared" si="41"/>
        <v>6444.2</v>
      </c>
      <c r="Y54" s="59">
        <f t="shared" si="33"/>
        <v>45063</v>
      </c>
      <c r="Z54">
        <f t="shared" si="47"/>
        <v>320</v>
      </c>
      <c r="AA54" s="39">
        <v>11</v>
      </c>
      <c r="AB54" s="40">
        <f t="shared" si="42"/>
        <v>85800</v>
      </c>
      <c r="AC54" s="40">
        <f t="shared" si="34"/>
        <v>7207.1999999999989</v>
      </c>
      <c r="AD54" s="126">
        <f t="shared" si="43"/>
        <v>7207.1999999999989</v>
      </c>
      <c r="AE54" s="41">
        <f t="shared" si="44"/>
        <v>0</v>
      </c>
      <c r="AF54" s="92">
        <f t="shared" si="45"/>
        <v>6486.48</v>
      </c>
      <c r="AG54" s="43">
        <f t="shared" si="46"/>
        <v>6486.48</v>
      </c>
    </row>
    <row r="55" spans="1:33" x14ac:dyDescent="0.25">
      <c r="A55" s="59">
        <f>A54+B55-B54</f>
        <v>45089</v>
      </c>
      <c r="B55">
        <f t="shared" si="25"/>
        <v>346</v>
      </c>
      <c r="C55" s="39">
        <v>12</v>
      </c>
      <c r="D55" s="40">
        <f t="shared" si="26"/>
        <v>87700</v>
      </c>
      <c r="E55" s="40">
        <f t="shared" si="27"/>
        <v>7366.8000000000011</v>
      </c>
      <c r="F55" s="126">
        <f t="shared" si="28"/>
        <v>7366.8000000000011</v>
      </c>
      <c r="G55" s="41">
        <f t="shared" si="29"/>
        <v>0</v>
      </c>
      <c r="H55" s="92">
        <f t="shared" si="30"/>
        <v>6630.12</v>
      </c>
      <c r="I55" s="45">
        <f t="shared" si="31"/>
        <v>6630.12</v>
      </c>
      <c r="J55" s="60"/>
      <c r="M55" s="59">
        <f t="shared" si="32"/>
        <v>45091</v>
      </c>
      <c r="N55">
        <f t="shared" si="35"/>
        <v>348</v>
      </c>
      <c r="O55" s="39">
        <v>12</v>
      </c>
      <c r="P55" s="40">
        <f t="shared" si="36"/>
        <v>85240</v>
      </c>
      <c r="Q55" s="40">
        <f t="shared" si="37"/>
        <v>7160.16</v>
      </c>
      <c r="R55" s="126">
        <f t="shared" si="38"/>
        <v>7160.16</v>
      </c>
      <c r="S55" s="41">
        <f t="shared" si="39"/>
        <v>0</v>
      </c>
      <c r="T55" s="92">
        <f t="shared" si="40"/>
        <v>6444.2</v>
      </c>
      <c r="U55" s="45">
        <f t="shared" si="41"/>
        <v>6444.2</v>
      </c>
      <c r="Y55" s="59">
        <f t="shared" si="33"/>
        <v>45091</v>
      </c>
      <c r="Z55">
        <f>Z54+$D$6</f>
        <v>348</v>
      </c>
      <c r="AA55" s="39">
        <v>12</v>
      </c>
      <c r="AB55" s="40">
        <f t="shared" si="42"/>
        <v>85800</v>
      </c>
      <c r="AC55" s="40">
        <f t="shared" si="34"/>
        <v>7207.1999999999989</v>
      </c>
      <c r="AD55" s="126">
        <f t="shared" si="43"/>
        <v>7207.1999999999989</v>
      </c>
      <c r="AE55" s="41">
        <f t="shared" si="44"/>
        <v>0</v>
      </c>
      <c r="AF55" s="92">
        <f t="shared" si="45"/>
        <v>6486.48</v>
      </c>
      <c r="AG55" s="43">
        <f t="shared" si="46"/>
        <v>6486.48</v>
      </c>
    </row>
    <row r="56" spans="1:33" x14ac:dyDescent="0.25">
      <c r="A56" s="59">
        <f>A55+B56-B55</f>
        <v>45107</v>
      </c>
      <c r="B56">
        <f>$B$29</f>
        <v>364</v>
      </c>
      <c r="C56" s="39">
        <v>13</v>
      </c>
      <c r="D56" s="40">
        <f>D55-G55</f>
        <v>87700</v>
      </c>
      <c r="E56" s="40">
        <f>$D$42-SUM(G43:G55)+F56</f>
        <v>92435.8</v>
      </c>
      <c r="F56" s="126">
        <f>ROUND(D56*$D$4,2)*(B56-B55)</f>
        <v>4735.8</v>
      </c>
      <c r="G56" s="125">
        <f>D56</f>
        <v>87700</v>
      </c>
      <c r="H56" s="92">
        <f>ROUND(D56*$E$4,2)*(B56-B55)</f>
        <v>4262.22</v>
      </c>
      <c r="I56" s="45">
        <f t="shared" ref="I56" si="48">G56+H56</f>
        <v>91962.22</v>
      </c>
      <c r="J56" s="60"/>
      <c r="M56" s="59">
        <f t="shared" si="32"/>
        <v>45107</v>
      </c>
      <c r="N56">
        <f>$L$29</f>
        <v>364</v>
      </c>
      <c r="O56" s="39">
        <v>13</v>
      </c>
      <c r="P56" s="40">
        <f>P55-S55</f>
        <v>85240</v>
      </c>
      <c r="Q56" s="127">
        <f>P43-SUM(S43:S55)+R56</f>
        <v>89331.520000000004</v>
      </c>
      <c r="R56" s="126">
        <f>ROUND(P56*$D$4,2)*(N56-N55)</f>
        <v>4091.52</v>
      </c>
      <c r="S56" s="41">
        <f>P56</f>
        <v>85240</v>
      </c>
      <c r="T56" s="92">
        <f>ROUND(P56*$E$4,2)*(N56-N55)</f>
        <v>3682.4</v>
      </c>
      <c r="U56" s="45">
        <f>S56+T56</f>
        <v>88922.4</v>
      </c>
      <c r="Y56" s="59">
        <f t="shared" si="33"/>
        <v>45107</v>
      </c>
      <c r="Z56">
        <f xml:space="preserve"> $W$29</f>
        <v>364</v>
      </c>
      <c r="AA56" s="39">
        <v>13</v>
      </c>
      <c r="AB56" s="40">
        <f t="shared" si="42"/>
        <v>85800</v>
      </c>
      <c r="AC56" s="127">
        <f>$D$3-SUM(AE43:AE55)+AD56</f>
        <v>89918.399999999994</v>
      </c>
      <c r="AD56" s="40">
        <f>ROUND(AB56*$D$4,2)*(Z56-Z55)</f>
        <v>4118.3999999999996</v>
      </c>
      <c r="AE56" s="41">
        <f>AB56</f>
        <v>85800</v>
      </c>
      <c r="AF56" s="92">
        <f>ROUND(AB56*$E$4,2)*(Z56-Z55)</f>
        <v>3706.56</v>
      </c>
      <c r="AG56" s="43">
        <f>AE56+AF56</f>
        <v>89506.559999999998</v>
      </c>
    </row>
    <row r="57" spans="1:33" ht="15.75" thickBot="1" x14ac:dyDescent="0.3">
      <c r="C57" s="136" t="s">
        <v>20</v>
      </c>
      <c r="D57" s="137"/>
      <c r="E57" s="46">
        <f>SUM(E42:E56)</f>
        <v>180837.40000000002</v>
      </c>
      <c r="F57" s="46">
        <f>SUM(F42:F56)</f>
        <v>95837.400000000023</v>
      </c>
      <c r="G57" s="47">
        <f>SUM(G42:G56)</f>
        <v>90000</v>
      </c>
      <c r="H57" s="48">
        <f>SUM(H44:H56)</f>
        <v>83823.66</v>
      </c>
      <c r="I57" s="49">
        <f>SUM(I43:I56)</f>
        <v>171523.66</v>
      </c>
      <c r="O57" s="136" t="s">
        <v>20</v>
      </c>
      <c r="P57" s="137"/>
      <c r="Q57" s="46">
        <f>SUM(Q42:Q56)+O40</f>
        <v>183653.28000000003</v>
      </c>
      <c r="R57" s="46">
        <f>SUM(R42:R56)</f>
        <v>93653.280000000028</v>
      </c>
      <c r="S57" s="47">
        <f>SUM(S43:S56)</f>
        <v>90000</v>
      </c>
      <c r="T57" s="48">
        <f>SUM(T43:T56)</f>
        <v>81372.599999999977</v>
      </c>
      <c r="U57" s="49">
        <f>SUM(U43:U56)</f>
        <v>166612.59999999998</v>
      </c>
      <c r="AA57" s="136" t="s">
        <v>20</v>
      </c>
      <c r="AB57" s="137"/>
      <c r="AC57" s="46">
        <f>SUM(AC42:AC56)+AA40</f>
        <v>184197.59999999998</v>
      </c>
      <c r="AD57" s="46">
        <f>SUM(AD42:AD56)</f>
        <v>94197.599999999962</v>
      </c>
      <c r="AE57" s="47">
        <f>SUM(AE43:AE56)</f>
        <v>90000</v>
      </c>
      <c r="AF57" s="48">
        <f>SUM(AF43:AF56)</f>
        <v>81861.839999999967</v>
      </c>
      <c r="AG57" s="49">
        <f>SUM(AG43:AG56)</f>
        <v>167661.83999999997</v>
      </c>
    </row>
    <row r="58" spans="1:33" x14ac:dyDescent="0.25">
      <c r="A58">
        <f t="shared" ref="A58:A71" si="49">A43-A42</f>
        <v>10</v>
      </c>
      <c r="E58" s="28">
        <f>(F57+G57)/G57</f>
        <v>2.0648600000000004</v>
      </c>
      <c r="F58" s="68">
        <f>F30-F57</f>
        <v>2442.5999999999767</v>
      </c>
      <c r="I58" s="29">
        <f>I57/G57</f>
        <v>1.9058184444444446</v>
      </c>
      <c r="Q58" s="28">
        <f>(R57+S57)/S57</f>
        <v>2.0405920000000002</v>
      </c>
      <c r="R58" s="68">
        <f>P30-R57</f>
        <v>4626.7199999999721</v>
      </c>
      <c r="U58" s="29">
        <f>U57/S57</f>
        <v>1.851251111111111</v>
      </c>
      <c r="AC58" s="28">
        <f>(AD57+AE57)/AE57</f>
        <v>2.0466399999999996</v>
      </c>
      <c r="AD58" s="68">
        <f>AD30-AD57</f>
        <v>84254.400000000038</v>
      </c>
      <c r="AG58" s="29">
        <f>AG57/AE57</f>
        <v>1.8629093333333329</v>
      </c>
    </row>
    <row r="59" spans="1:33" x14ac:dyDescent="0.25">
      <c r="A59">
        <f>A44-A43</f>
        <v>28</v>
      </c>
      <c r="B59">
        <f>56-B44</f>
        <v>18</v>
      </c>
      <c r="C59">
        <f>B56-B55</f>
        <v>18</v>
      </c>
      <c r="M59">
        <f t="shared" ref="M59:M72" si="50">M43-M42</f>
        <v>28</v>
      </c>
      <c r="Y59">
        <f t="shared" ref="Y59:Y72" si="51">Y43-Y42</f>
        <v>28</v>
      </c>
    </row>
    <row r="60" spans="1:33" x14ac:dyDescent="0.25">
      <c r="A60">
        <f t="shared" si="49"/>
        <v>28</v>
      </c>
      <c r="M60">
        <f>M44-M43</f>
        <v>12</v>
      </c>
      <c r="N60">
        <f>56-N44</f>
        <v>16</v>
      </c>
      <c r="O60">
        <f>N56-N55</f>
        <v>16</v>
      </c>
      <c r="Y60">
        <f>Y44-Y43</f>
        <v>12</v>
      </c>
      <c r="Z60">
        <f>56-Z44</f>
        <v>16</v>
      </c>
      <c r="AA60">
        <f>Z56-Z55</f>
        <v>16</v>
      </c>
    </row>
    <row r="61" spans="1:33" x14ac:dyDescent="0.25">
      <c r="A61">
        <f t="shared" si="49"/>
        <v>28</v>
      </c>
      <c r="M61">
        <f t="shared" si="50"/>
        <v>28</v>
      </c>
      <c r="Y61">
        <f t="shared" si="51"/>
        <v>28</v>
      </c>
    </row>
    <row r="62" spans="1:33" x14ac:dyDescent="0.25">
      <c r="A62">
        <f t="shared" si="49"/>
        <v>28</v>
      </c>
      <c r="M62">
        <f t="shared" si="50"/>
        <v>28</v>
      </c>
      <c r="Y62">
        <f t="shared" si="51"/>
        <v>28</v>
      </c>
      <c r="AB62" s="68"/>
    </row>
    <row r="63" spans="1:33" x14ac:dyDescent="0.25">
      <c r="A63">
        <f t="shared" si="49"/>
        <v>28</v>
      </c>
      <c r="M63">
        <f t="shared" si="50"/>
        <v>28</v>
      </c>
      <c r="Y63">
        <f t="shared" si="51"/>
        <v>28</v>
      </c>
    </row>
    <row r="64" spans="1:33" x14ac:dyDescent="0.25">
      <c r="A64">
        <f t="shared" si="49"/>
        <v>28</v>
      </c>
      <c r="G64" s="70"/>
      <c r="H64" s="70"/>
      <c r="M64">
        <f t="shared" si="50"/>
        <v>28</v>
      </c>
      <c r="Y64">
        <f t="shared" si="51"/>
        <v>28</v>
      </c>
    </row>
    <row r="65" spans="1:25" x14ac:dyDescent="0.25">
      <c r="A65">
        <f t="shared" si="49"/>
        <v>28</v>
      </c>
      <c r="M65">
        <f t="shared" si="50"/>
        <v>28</v>
      </c>
      <c r="Y65">
        <f t="shared" si="51"/>
        <v>28</v>
      </c>
    </row>
    <row r="66" spans="1:25" x14ac:dyDescent="0.25">
      <c r="A66">
        <f t="shared" si="49"/>
        <v>28</v>
      </c>
      <c r="M66">
        <f t="shared" si="50"/>
        <v>28</v>
      </c>
      <c r="Y66">
        <f t="shared" si="51"/>
        <v>28</v>
      </c>
    </row>
    <row r="67" spans="1:25" x14ac:dyDescent="0.25">
      <c r="A67">
        <f t="shared" si="49"/>
        <v>28</v>
      </c>
      <c r="M67">
        <f t="shared" si="50"/>
        <v>28</v>
      </c>
      <c r="Y67">
        <f t="shared" si="51"/>
        <v>28</v>
      </c>
    </row>
    <row r="68" spans="1:25" x14ac:dyDescent="0.25">
      <c r="A68">
        <f t="shared" si="49"/>
        <v>28</v>
      </c>
      <c r="M68">
        <f t="shared" si="50"/>
        <v>28</v>
      </c>
      <c r="Y68">
        <f t="shared" si="51"/>
        <v>28</v>
      </c>
    </row>
    <row r="69" spans="1:25" x14ac:dyDescent="0.25">
      <c r="A69">
        <f t="shared" si="49"/>
        <v>28</v>
      </c>
      <c r="M69">
        <f t="shared" si="50"/>
        <v>28</v>
      </c>
      <c r="Y69">
        <f t="shared" si="51"/>
        <v>28</v>
      </c>
    </row>
    <row r="70" spans="1:25" x14ac:dyDescent="0.25">
      <c r="A70">
        <f t="shared" si="49"/>
        <v>28</v>
      </c>
      <c r="M70">
        <f t="shared" si="50"/>
        <v>28</v>
      </c>
      <c r="Y70">
        <f t="shared" si="51"/>
        <v>28</v>
      </c>
    </row>
    <row r="71" spans="1:25" x14ac:dyDescent="0.25">
      <c r="A71">
        <f t="shared" si="49"/>
        <v>18</v>
      </c>
      <c r="M71">
        <f t="shared" si="50"/>
        <v>28</v>
      </c>
      <c r="Y71">
        <f t="shared" si="51"/>
        <v>28</v>
      </c>
    </row>
    <row r="72" spans="1:25" x14ac:dyDescent="0.25">
      <c r="M72">
        <f t="shared" si="50"/>
        <v>16</v>
      </c>
      <c r="Y72">
        <f t="shared" si="51"/>
        <v>16</v>
      </c>
    </row>
  </sheetData>
  <mergeCells count="6">
    <mergeCell ref="C57:D57"/>
    <mergeCell ref="O57:P57"/>
    <mergeCell ref="AA57:AB57"/>
    <mergeCell ref="C30:D30"/>
    <mergeCell ref="M30:N30"/>
    <mergeCell ref="X30:Y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895C-8AA1-40F0-BCCD-F394FAD06D0B}">
  <sheetPr>
    <tabColor theme="9" tint="0.39997558519241921"/>
    <pageSetUpPr autoPageBreaks="0"/>
  </sheetPr>
  <dimension ref="A2:AI72"/>
  <sheetViews>
    <sheetView tabSelected="1" topLeftCell="A41" zoomScale="70" zoomScaleNormal="70" workbookViewId="0">
      <selection activeCell="J62" sqref="J62"/>
    </sheetView>
  </sheetViews>
  <sheetFormatPr defaultRowHeight="15" x14ac:dyDescent="0.25"/>
  <cols>
    <col min="1" max="1" width="11.140625" customWidth="1"/>
    <col min="2" max="2" width="19.140625" customWidth="1"/>
    <col min="3" max="3" width="10.42578125" bestFit="1" customWidth="1"/>
    <col min="4" max="4" width="15.28515625" customWidth="1"/>
    <col min="5" max="5" width="11.42578125" customWidth="1"/>
    <col min="6" max="6" width="12.140625" customWidth="1"/>
    <col min="7" max="7" width="13.85546875" customWidth="1"/>
    <col min="8" max="8" width="14.140625" customWidth="1"/>
    <col min="9" max="9" width="12.28515625" customWidth="1"/>
    <col min="11" max="11" width="10.7109375" customWidth="1"/>
    <col min="12" max="12" width="9.140625" customWidth="1"/>
    <col min="13" max="13" width="10.7109375" customWidth="1"/>
    <col min="14" max="14" width="15.42578125" customWidth="1"/>
    <col min="15" max="15" width="12" customWidth="1"/>
    <col min="16" max="16" width="12.28515625" customWidth="1"/>
    <col min="17" max="17" width="12" customWidth="1"/>
    <col min="18" max="18" width="13.42578125" customWidth="1"/>
    <col min="19" max="19" width="13.85546875" customWidth="1"/>
    <col min="20" max="20" width="15.5703125" customWidth="1"/>
    <col min="21" max="21" width="11.7109375" customWidth="1"/>
    <col min="22" max="22" width="11.28515625" customWidth="1"/>
    <col min="25" max="25" width="11.7109375" customWidth="1"/>
    <col min="26" max="26" width="15.42578125" customWidth="1"/>
    <col min="27" max="27" width="11.7109375" customWidth="1"/>
    <col min="28" max="28" width="15.5703125" customWidth="1"/>
    <col min="29" max="29" width="12.42578125" customWidth="1"/>
    <col min="30" max="30" width="12.85546875" customWidth="1"/>
    <col min="31" max="31" width="11" bestFit="1" customWidth="1"/>
    <col min="32" max="33" width="12" customWidth="1"/>
    <col min="35" max="35" width="11" bestFit="1" customWidth="1"/>
  </cols>
  <sheetData>
    <row r="2" spans="1:30" x14ac:dyDescent="0.25">
      <c r="B2" s="8" t="s">
        <v>0</v>
      </c>
      <c r="H2" s="60"/>
      <c r="I2" s="60"/>
      <c r="J2" s="60"/>
      <c r="K2" s="60"/>
      <c r="L2" s="60"/>
      <c r="M2" s="60"/>
      <c r="N2" s="60"/>
    </row>
    <row r="3" spans="1:30" x14ac:dyDescent="0.25">
      <c r="B3" t="s">
        <v>1</v>
      </c>
      <c r="D3" s="2">
        <v>90000</v>
      </c>
      <c r="H3" s="60"/>
      <c r="I3" s="84"/>
      <c r="J3" s="60"/>
      <c r="K3" s="60"/>
      <c r="L3" s="60"/>
      <c r="M3" s="60"/>
      <c r="N3" s="60"/>
    </row>
    <row r="4" spans="1:30" ht="32.25" customHeight="1" x14ac:dyDescent="0.25">
      <c r="B4" s="23" t="s">
        <v>83</v>
      </c>
      <c r="D4" s="91">
        <v>3.0000000000000001E-3</v>
      </c>
      <c r="E4" s="91">
        <v>2.7000000000000001E-3</v>
      </c>
      <c r="F4" s="123">
        <f>D4-((D4*C13))</f>
        <v>-2.7E-2</v>
      </c>
      <c r="H4" s="60"/>
      <c r="I4" s="85"/>
      <c r="J4" s="60"/>
      <c r="K4" s="60"/>
      <c r="L4" s="60"/>
      <c r="M4" s="60"/>
      <c r="N4" s="60"/>
    </row>
    <row r="5" spans="1:30" x14ac:dyDescent="0.25">
      <c r="B5" t="s">
        <v>3</v>
      </c>
      <c r="D5">
        <v>13</v>
      </c>
      <c r="H5" s="60"/>
      <c r="I5" s="85"/>
      <c r="J5" s="60"/>
      <c r="K5" s="60"/>
      <c r="L5" s="60"/>
      <c r="M5" s="18"/>
      <c r="N5" s="18"/>
      <c r="O5" s="18"/>
      <c r="Y5" s="18"/>
      <c r="Z5" s="18"/>
      <c r="AA5" s="18"/>
    </row>
    <row r="6" spans="1:30" x14ac:dyDescent="0.25">
      <c r="B6" t="s">
        <v>4</v>
      </c>
      <c r="D6">
        <v>28</v>
      </c>
      <c r="E6">
        <f>D6*D5</f>
        <v>364</v>
      </c>
      <c r="F6">
        <f>((D4*C13))</f>
        <v>0.03</v>
      </c>
      <c r="H6" s="60"/>
      <c r="I6" s="60"/>
      <c r="J6" s="60"/>
      <c r="K6" s="60"/>
      <c r="L6" s="60"/>
      <c r="M6" s="86"/>
      <c r="N6" s="60"/>
      <c r="O6" s="3"/>
      <c r="Y6" s="20"/>
      <c r="Z6" s="36"/>
      <c r="AA6" s="3"/>
    </row>
    <row r="9" spans="1:30" x14ac:dyDescent="0.25">
      <c r="B9" t="s">
        <v>5</v>
      </c>
    </row>
    <row r="11" spans="1:30" x14ac:dyDescent="0.25">
      <c r="B11" s="5" t="s">
        <v>103</v>
      </c>
      <c r="C11" s="40">
        <f>(D3*D4)*1</f>
        <v>270</v>
      </c>
      <c r="D11" s="4"/>
      <c r="E11" s="4"/>
      <c r="F11" s="3"/>
    </row>
    <row r="12" spans="1:30" x14ac:dyDescent="0.25">
      <c r="B12" t="s">
        <v>102</v>
      </c>
      <c r="C12" s="50">
        <f>$F$17</f>
        <v>7560</v>
      </c>
      <c r="D12" s="5"/>
    </row>
    <row r="13" spans="1:30" x14ac:dyDescent="0.25">
      <c r="B13" t="s">
        <v>9</v>
      </c>
      <c r="C13">
        <v>10</v>
      </c>
      <c r="D13" s="62"/>
    </row>
    <row r="14" spans="1:30" ht="16.5" thickBot="1" x14ac:dyDescent="0.3">
      <c r="D14" s="1" t="s">
        <v>78</v>
      </c>
      <c r="E14" s="8"/>
      <c r="F14" s="8"/>
      <c r="N14" s="1" t="s">
        <v>78</v>
      </c>
      <c r="O14" s="8"/>
      <c r="P14" s="8"/>
      <c r="Y14" s="1" t="s">
        <v>78</v>
      </c>
      <c r="Z14" s="8"/>
      <c r="AA14" s="8"/>
    </row>
    <row r="15" spans="1:30" ht="30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K15" t="s">
        <v>77</v>
      </c>
      <c r="L15" t="s">
        <v>76</v>
      </c>
      <c r="M15" s="9" t="s">
        <v>15</v>
      </c>
      <c r="N15" s="10" t="s">
        <v>16</v>
      </c>
      <c r="O15" s="10" t="s">
        <v>17</v>
      </c>
      <c r="P15" s="10" t="s">
        <v>18</v>
      </c>
      <c r="Q15" s="11" t="s">
        <v>19</v>
      </c>
      <c r="R15" s="24" t="s">
        <v>41</v>
      </c>
      <c r="S15" s="25" t="s">
        <v>42</v>
      </c>
      <c r="V15" t="s">
        <v>77</v>
      </c>
      <c r="W15" t="s">
        <v>76</v>
      </c>
      <c r="X15" s="9" t="s">
        <v>15</v>
      </c>
      <c r="Y15" s="10" t="s">
        <v>16</v>
      </c>
      <c r="Z15" s="10" t="s">
        <v>17</v>
      </c>
      <c r="AA15" s="10" t="s">
        <v>18</v>
      </c>
      <c r="AB15" s="11" t="s">
        <v>19</v>
      </c>
      <c r="AC15" s="24" t="s">
        <v>41</v>
      </c>
      <c r="AD15" s="25" t="s">
        <v>42</v>
      </c>
    </row>
    <row r="16" spans="1:30" x14ac:dyDescent="0.25">
      <c r="A16" s="59">
        <v>44743</v>
      </c>
      <c r="B16">
        <v>0</v>
      </c>
      <c r="C16" s="39">
        <v>0</v>
      </c>
      <c r="E16" s="40"/>
      <c r="F16" s="40"/>
      <c r="G16" s="41"/>
      <c r="H16" s="42"/>
      <c r="I16" s="43"/>
      <c r="K16" s="59">
        <v>44743</v>
      </c>
      <c r="L16">
        <v>0</v>
      </c>
      <c r="M16" s="39">
        <v>0</v>
      </c>
      <c r="O16" s="40"/>
      <c r="P16" s="40"/>
      <c r="Q16" s="41"/>
      <c r="R16" s="42"/>
      <c r="S16" s="43"/>
      <c r="V16" s="59">
        <v>44743</v>
      </c>
      <c r="W16">
        <v>0</v>
      </c>
      <c r="X16" s="39">
        <v>0</v>
      </c>
      <c r="Z16" s="40"/>
      <c r="AA16" s="40"/>
      <c r="AB16" s="41"/>
      <c r="AC16" s="42"/>
      <c r="AD16" s="43"/>
    </row>
    <row r="17" spans="1:33" x14ac:dyDescent="0.25">
      <c r="A17" s="59">
        <f>A16+B17-B16</f>
        <v>44771</v>
      </c>
      <c r="B17">
        <f>B16+$D$6</f>
        <v>28</v>
      </c>
      <c r="C17" s="39">
        <v>1</v>
      </c>
      <c r="D17" s="40">
        <f>$D$3</f>
        <v>90000</v>
      </c>
      <c r="E17" s="40">
        <f>$F$17</f>
        <v>7560</v>
      </c>
      <c r="F17" s="40">
        <f>ROUND(D17*$D$4,2)*$D$6</f>
        <v>7560</v>
      </c>
      <c r="G17" s="41">
        <f>E17-F17</f>
        <v>0</v>
      </c>
      <c r="H17" s="92">
        <f>ROUND(D17*$E$4,2)*$D$6</f>
        <v>6804</v>
      </c>
      <c r="I17" s="45">
        <f>G17+H17</f>
        <v>6804</v>
      </c>
      <c r="K17" s="59">
        <f>K16+L17-L16</f>
        <v>44771</v>
      </c>
      <c r="L17">
        <f>L16+$D$6</f>
        <v>28</v>
      </c>
      <c r="M17" s="39">
        <v>1</v>
      </c>
      <c r="N17" s="40">
        <f>$D$3</f>
        <v>90000</v>
      </c>
      <c r="O17" s="40">
        <f>$F$17</f>
        <v>7560</v>
      </c>
      <c r="P17" s="40">
        <f>ROUND(N17*$D$4,2)*$D$6</f>
        <v>7560</v>
      </c>
      <c r="Q17" s="41">
        <f>O17-P17</f>
        <v>0</v>
      </c>
      <c r="R17" s="92">
        <f>ROUND(N17*$E$4,2)*$D$6</f>
        <v>6804</v>
      </c>
      <c r="S17" s="45">
        <f>Q17+R17</f>
        <v>6804</v>
      </c>
      <c r="V17" s="59">
        <f>V16+W17-W16</f>
        <v>44771</v>
      </c>
      <c r="W17">
        <f>W16+$D$6</f>
        <v>28</v>
      </c>
      <c r="X17" s="39">
        <v>1</v>
      </c>
      <c r="Y17" s="40">
        <f>$D$3</f>
        <v>90000</v>
      </c>
      <c r="Z17" s="40">
        <f>$F$17</f>
        <v>7560</v>
      </c>
      <c r="AA17" s="40">
        <f>ROUND(Y17*$D$4,2)*$D$6</f>
        <v>7560</v>
      </c>
      <c r="AB17" s="41">
        <f>Z17-AA17</f>
        <v>0</v>
      </c>
      <c r="AC17" s="92">
        <f>ROUND(Y17*$E$4,2)*$D$6</f>
        <v>6804</v>
      </c>
      <c r="AD17" s="45">
        <f>AB17+AC17</f>
        <v>6804</v>
      </c>
    </row>
    <row r="18" spans="1:33" x14ac:dyDescent="0.25">
      <c r="A18" s="59">
        <f t="shared" ref="A18:A29" si="0">A17+B18-B17</f>
        <v>44799</v>
      </c>
      <c r="B18">
        <f t="shared" ref="B18:B29" si="1">B17+$D$6</f>
        <v>56</v>
      </c>
      <c r="C18" s="39">
        <v>2</v>
      </c>
      <c r="D18" s="40">
        <f>D17-G17</f>
        <v>90000</v>
      </c>
      <c r="E18" s="40">
        <f t="shared" ref="E18:E28" si="2">$F$17</f>
        <v>7560</v>
      </c>
      <c r="F18" s="40">
        <f>ROUND(D18*$D$4,2)*$D$6</f>
        <v>7560</v>
      </c>
      <c r="G18" s="41">
        <f>E18-F18</f>
        <v>0</v>
      </c>
      <c r="H18" s="92">
        <f>ROUND(D18*$E$4,2)*$D$6</f>
        <v>6804</v>
      </c>
      <c r="I18" s="45">
        <f>G18+H18</f>
        <v>6804</v>
      </c>
      <c r="K18" s="59">
        <f t="shared" ref="K18:K28" si="3">K17+L18-L17</f>
        <v>44799</v>
      </c>
      <c r="L18">
        <f>L17+$D$6</f>
        <v>56</v>
      </c>
      <c r="M18" s="39">
        <v>2</v>
      </c>
      <c r="N18" s="40">
        <f>N17-Q17</f>
        <v>90000</v>
      </c>
      <c r="O18" s="40">
        <f t="shared" ref="O18:O28" si="4">$F$17</f>
        <v>7560</v>
      </c>
      <c r="P18" s="40">
        <f>ROUND(N18*$D$4,2)*$D$6</f>
        <v>7560</v>
      </c>
      <c r="Q18" s="41">
        <f>O18-P18</f>
        <v>0</v>
      </c>
      <c r="R18" s="92">
        <f>ROUND(N18*$E$4,2)*$D$6</f>
        <v>6804</v>
      </c>
      <c r="S18" s="45">
        <f>Q18+R18</f>
        <v>6804</v>
      </c>
      <c r="V18" s="59">
        <f t="shared" ref="V18:V29" si="5">V17+W18-W17</f>
        <v>44799</v>
      </c>
      <c r="W18">
        <f>W17+$D$6</f>
        <v>56</v>
      </c>
      <c r="X18" s="39">
        <v>2</v>
      </c>
      <c r="Y18" s="40">
        <f>Y17-AB17</f>
        <v>90000</v>
      </c>
      <c r="Z18" s="40">
        <f t="shared" ref="Z18:Z28" si="6">$F$17</f>
        <v>7560</v>
      </c>
      <c r="AA18" s="40">
        <f>ROUND(Y18*$D$4,2)*$D$6</f>
        <v>7560</v>
      </c>
      <c r="AB18" s="41">
        <f>Z18-AA18</f>
        <v>0</v>
      </c>
      <c r="AC18" s="92">
        <f>ROUND(Y18*$E$4,2)*$D$6</f>
        <v>6804</v>
      </c>
      <c r="AD18" s="45">
        <f>AB18+AC18</f>
        <v>6804</v>
      </c>
    </row>
    <row r="19" spans="1:33" x14ac:dyDescent="0.25">
      <c r="A19" s="59">
        <f t="shared" si="0"/>
        <v>44827</v>
      </c>
      <c r="B19">
        <f t="shared" si="1"/>
        <v>84</v>
      </c>
      <c r="C19" s="39">
        <v>3</v>
      </c>
      <c r="D19" s="40">
        <f>D18-G18</f>
        <v>90000</v>
      </c>
      <c r="E19" s="40">
        <f t="shared" si="2"/>
        <v>7560</v>
      </c>
      <c r="F19" s="40">
        <f>ROUND(D19*$D$4,2)*$D$6</f>
        <v>7560</v>
      </c>
      <c r="G19" s="41">
        <f>E19-F19</f>
        <v>0</v>
      </c>
      <c r="H19" s="92">
        <f>ROUND(D19*$E$4,2)*$D$6</f>
        <v>6804</v>
      </c>
      <c r="I19" s="45">
        <f>G19+H19</f>
        <v>6804</v>
      </c>
      <c r="K19" s="59">
        <f t="shared" si="3"/>
        <v>44827</v>
      </c>
      <c r="L19">
        <f>L18+$D$6</f>
        <v>84</v>
      </c>
      <c r="M19" s="39">
        <v>3</v>
      </c>
      <c r="N19" s="40">
        <f>N18-Q18</f>
        <v>90000</v>
      </c>
      <c r="O19" s="40">
        <f t="shared" si="4"/>
        <v>7560</v>
      </c>
      <c r="P19" s="40">
        <f>ROUND(N19*$D$4,2)*$D$6</f>
        <v>7560</v>
      </c>
      <c r="Q19" s="41">
        <f>O19-P19</f>
        <v>0</v>
      </c>
      <c r="R19" s="92">
        <f>ROUND(N19*$E$4,2)*$D$6</f>
        <v>6804</v>
      </c>
      <c r="S19" s="45">
        <f>Q19+R19</f>
        <v>6804</v>
      </c>
      <c r="V19" s="59">
        <f t="shared" si="5"/>
        <v>44827</v>
      </c>
      <c r="W19">
        <f>W18+$D$6</f>
        <v>84</v>
      </c>
      <c r="X19" s="39">
        <v>3</v>
      </c>
      <c r="Y19" s="40">
        <f>Y18-AB18</f>
        <v>90000</v>
      </c>
      <c r="Z19" s="40">
        <f t="shared" si="6"/>
        <v>7560</v>
      </c>
      <c r="AA19" s="40">
        <f>ROUND(Y19*$D$4,2)*$D$6</f>
        <v>7560</v>
      </c>
      <c r="AB19" s="41">
        <f>Z19-AA19</f>
        <v>0</v>
      </c>
      <c r="AC19" s="92">
        <f>ROUND(Y19*$E$4,2)*$D$6</f>
        <v>6804</v>
      </c>
      <c r="AD19" s="45">
        <f>AB19+AC19</f>
        <v>6804</v>
      </c>
    </row>
    <row r="20" spans="1:33" x14ac:dyDescent="0.25">
      <c r="A20" s="59">
        <f t="shared" si="0"/>
        <v>44855</v>
      </c>
      <c r="B20">
        <f t="shared" si="1"/>
        <v>112</v>
      </c>
      <c r="C20" s="39">
        <v>4</v>
      </c>
      <c r="D20" s="40">
        <f t="shared" ref="D20:D28" si="7">D19-G19</f>
        <v>90000</v>
      </c>
      <c r="E20" s="40">
        <f t="shared" si="2"/>
        <v>7560</v>
      </c>
      <c r="F20" s="40">
        <f t="shared" ref="F20:F28" si="8">ROUND(D20*$D$4,2)*$D$6</f>
        <v>7560</v>
      </c>
      <c r="G20" s="41">
        <f t="shared" ref="G20:G28" si="9">E20-F20</f>
        <v>0</v>
      </c>
      <c r="H20" s="92">
        <f t="shared" ref="H20:H28" si="10">ROUND(D20*$E$4,2)*$D$6</f>
        <v>6804</v>
      </c>
      <c r="I20" s="45">
        <f t="shared" ref="I20:I28" si="11">G20+H20</f>
        <v>6804</v>
      </c>
      <c r="K20" s="59">
        <f t="shared" si="3"/>
        <v>44855</v>
      </c>
      <c r="L20">
        <f t="shared" ref="L20:L29" si="12">L19+$D$6</f>
        <v>112</v>
      </c>
      <c r="M20" s="39">
        <v>4</v>
      </c>
      <c r="N20" s="40">
        <f t="shared" ref="N20:N28" si="13">N19-Q19</f>
        <v>90000</v>
      </c>
      <c r="O20" s="40">
        <f t="shared" si="4"/>
        <v>7560</v>
      </c>
      <c r="P20" s="40">
        <f t="shared" ref="P20:P28" si="14">ROUND(N20*$D$4,2)*$D$6</f>
        <v>7560</v>
      </c>
      <c r="Q20" s="41">
        <f t="shared" ref="Q20:Q28" si="15">O20-P20</f>
        <v>0</v>
      </c>
      <c r="R20" s="92">
        <f t="shared" ref="R20:R28" si="16">ROUND(N20*$E$4,2)*$D$6</f>
        <v>6804</v>
      </c>
      <c r="S20" s="45">
        <f t="shared" ref="S20:S28" si="17">Q20+R20</f>
        <v>6804</v>
      </c>
      <c r="V20" s="59">
        <f t="shared" si="5"/>
        <v>44855</v>
      </c>
      <c r="W20">
        <f t="shared" ref="W20:W29" si="18">W19+$D$6</f>
        <v>112</v>
      </c>
      <c r="X20" s="39">
        <v>4</v>
      </c>
      <c r="Y20" s="40">
        <f t="shared" ref="Y20:Y28" si="19">Y19-AB19</f>
        <v>90000</v>
      </c>
      <c r="Z20" s="40">
        <f t="shared" si="6"/>
        <v>7560</v>
      </c>
      <c r="AA20" s="40">
        <f t="shared" ref="AA20:AA28" si="20">ROUND(Y20*$D$4,2)*$D$6</f>
        <v>7560</v>
      </c>
      <c r="AB20" s="41">
        <f t="shared" ref="AB20:AB28" si="21">Z20-AA20</f>
        <v>0</v>
      </c>
      <c r="AC20" s="92">
        <f t="shared" ref="AC20:AC28" si="22">ROUND(Y20*$E$4,2)*$D$6</f>
        <v>6804</v>
      </c>
      <c r="AD20" s="45">
        <f t="shared" ref="AD20:AD28" si="23">AB20+AC20</f>
        <v>6804</v>
      </c>
    </row>
    <row r="21" spans="1:33" x14ac:dyDescent="0.25">
      <c r="A21" s="59">
        <f t="shared" si="0"/>
        <v>44883</v>
      </c>
      <c r="B21">
        <f t="shared" si="1"/>
        <v>140</v>
      </c>
      <c r="C21" s="39">
        <v>5</v>
      </c>
      <c r="D21" s="40">
        <f t="shared" si="7"/>
        <v>90000</v>
      </c>
      <c r="E21" s="40">
        <f t="shared" si="2"/>
        <v>7560</v>
      </c>
      <c r="F21" s="40">
        <f t="shared" si="8"/>
        <v>7560</v>
      </c>
      <c r="G21" s="41">
        <f t="shared" si="9"/>
        <v>0</v>
      </c>
      <c r="H21" s="92">
        <f t="shared" si="10"/>
        <v>6804</v>
      </c>
      <c r="I21" s="45">
        <f t="shared" si="11"/>
        <v>6804</v>
      </c>
      <c r="K21" s="59">
        <f t="shared" si="3"/>
        <v>44883</v>
      </c>
      <c r="L21">
        <f t="shared" si="12"/>
        <v>140</v>
      </c>
      <c r="M21" s="39">
        <v>5</v>
      </c>
      <c r="N21" s="40">
        <f t="shared" si="13"/>
        <v>90000</v>
      </c>
      <c r="O21" s="40">
        <f t="shared" si="4"/>
        <v>7560</v>
      </c>
      <c r="P21" s="40">
        <f t="shared" si="14"/>
        <v>7560</v>
      </c>
      <c r="Q21" s="41">
        <f t="shared" si="15"/>
        <v>0</v>
      </c>
      <c r="R21" s="92">
        <f t="shared" si="16"/>
        <v>6804</v>
      </c>
      <c r="S21" s="45">
        <f t="shared" si="17"/>
        <v>6804</v>
      </c>
      <c r="V21" s="59">
        <f t="shared" si="5"/>
        <v>44883</v>
      </c>
      <c r="W21">
        <f t="shared" si="18"/>
        <v>140</v>
      </c>
      <c r="X21" s="39">
        <v>5</v>
      </c>
      <c r="Y21" s="40">
        <f t="shared" si="19"/>
        <v>90000</v>
      </c>
      <c r="Z21" s="40">
        <f t="shared" si="6"/>
        <v>7560</v>
      </c>
      <c r="AA21" s="40">
        <f t="shared" si="20"/>
        <v>7560</v>
      </c>
      <c r="AB21" s="41">
        <f t="shared" si="21"/>
        <v>0</v>
      </c>
      <c r="AC21" s="92">
        <f t="shared" si="22"/>
        <v>6804</v>
      </c>
      <c r="AD21" s="45">
        <f t="shared" si="23"/>
        <v>6804</v>
      </c>
    </row>
    <row r="22" spans="1:33" x14ac:dyDescent="0.25">
      <c r="A22" s="59">
        <f t="shared" si="0"/>
        <v>44911</v>
      </c>
      <c r="B22">
        <f t="shared" si="1"/>
        <v>168</v>
      </c>
      <c r="C22" s="39">
        <v>6</v>
      </c>
      <c r="D22" s="40">
        <f t="shared" si="7"/>
        <v>90000</v>
      </c>
      <c r="E22" s="40">
        <f t="shared" si="2"/>
        <v>7560</v>
      </c>
      <c r="F22" s="40">
        <f t="shared" si="8"/>
        <v>7560</v>
      </c>
      <c r="G22" s="41">
        <f t="shared" si="9"/>
        <v>0</v>
      </c>
      <c r="H22" s="92">
        <f t="shared" si="10"/>
        <v>6804</v>
      </c>
      <c r="I22" s="45">
        <f t="shared" si="11"/>
        <v>6804</v>
      </c>
      <c r="K22" s="59">
        <f t="shared" si="3"/>
        <v>44911</v>
      </c>
      <c r="L22">
        <f t="shared" si="12"/>
        <v>168</v>
      </c>
      <c r="M22" s="39">
        <v>6</v>
      </c>
      <c r="N22" s="40">
        <f t="shared" si="13"/>
        <v>90000</v>
      </c>
      <c r="O22" s="40">
        <f t="shared" si="4"/>
        <v>7560</v>
      </c>
      <c r="P22" s="40">
        <f t="shared" si="14"/>
        <v>7560</v>
      </c>
      <c r="Q22" s="41">
        <f t="shared" si="15"/>
        <v>0</v>
      </c>
      <c r="R22" s="92">
        <f t="shared" si="16"/>
        <v>6804</v>
      </c>
      <c r="S22" s="45">
        <f t="shared" si="17"/>
        <v>6804</v>
      </c>
      <c r="V22" s="59">
        <f t="shared" si="5"/>
        <v>44911</v>
      </c>
      <c r="W22">
        <f t="shared" si="18"/>
        <v>168</v>
      </c>
      <c r="X22" s="39">
        <v>6</v>
      </c>
      <c r="Y22" s="40">
        <f t="shared" si="19"/>
        <v>90000</v>
      </c>
      <c r="Z22" s="40">
        <f t="shared" si="6"/>
        <v>7560</v>
      </c>
      <c r="AA22" s="40">
        <f t="shared" si="20"/>
        <v>7560</v>
      </c>
      <c r="AB22" s="41">
        <f t="shared" si="21"/>
        <v>0</v>
      </c>
      <c r="AC22" s="92">
        <f t="shared" si="22"/>
        <v>6804</v>
      </c>
      <c r="AD22" s="45">
        <f t="shared" si="23"/>
        <v>6804</v>
      </c>
    </row>
    <row r="23" spans="1:33" x14ac:dyDescent="0.25">
      <c r="A23" s="59">
        <f t="shared" si="0"/>
        <v>44939</v>
      </c>
      <c r="B23">
        <f t="shared" si="1"/>
        <v>196</v>
      </c>
      <c r="C23" s="39">
        <v>7</v>
      </c>
      <c r="D23" s="40">
        <f t="shared" si="7"/>
        <v>90000</v>
      </c>
      <c r="E23" s="40">
        <f t="shared" si="2"/>
        <v>7560</v>
      </c>
      <c r="F23" s="40">
        <f t="shared" si="8"/>
        <v>7560</v>
      </c>
      <c r="G23" s="41">
        <f t="shared" si="9"/>
        <v>0</v>
      </c>
      <c r="H23" s="92">
        <f t="shared" si="10"/>
        <v>6804</v>
      </c>
      <c r="I23" s="45">
        <f t="shared" si="11"/>
        <v>6804</v>
      </c>
      <c r="K23" s="59">
        <f t="shared" si="3"/>
        <v>44939</v>
      </c>
      <c r="L23">
        <f t="shared" si="12"/>
        <v>196</v>
      </c>
      <c r="M23" s="39">
        <v>7</v>
      </c>
      <c r="N23" s="40">
        <f t="shared" si="13"/>
        <v>90000</v>
      </c>
      <c r="O23" s="40">
        <f t="shared" si="4"/>
        <v>7560</v>
      </c>
      <c r="P23" s="40">
        <f t="shared" si="14"/>
        <v>7560</v>
      </c>
      <c r="Q23" s="41">
        <f t="shared" si="15"/>
        <v>0</v>
      </c>
      <c r="R23" s="92">
        <f t="shared" si="16"/>
        <v>6804</v>
      </c>
      <c r="S23" s="45">
        <f t="shared" si="17"/>
        <v>6804</v>
      </c>
      <c r="V23" s="59">
        <f t="shared" si="5"/>
        <v>44939</v>
      </c>
      <c r="W23">
        <f t="shared" si="18"/>
        <v>196</v>
      </c>
      <c r="X23" s="39">
        <v>7</v>
      </c>
      <c r="Y23" s="40">
        <f t="shared" si="19"/>
        <v>90000</v>
      </c>
      <c r="Z23" s="40">
        <f t="shared" si="6"/>
        <v>7560</v>
      </c>
      <c r="AA23" s="40">
        <f t="shared" si="20"/>
        <v>7560</v>
      </c>
      <c r="AB23" s="41">
        <f t="shared" si="21"/>
        <v>0</v>
      </c>
      <c r="AC23" s="92">
        <f t="shared" si="22"/>
        <v>6804</v>
      </c>
      <c r="AD23" s="45">
        <f t="shared" si="23"/>
        <v>6804</v>
      </c>
    </row>
    <row r="24" spans="1:33" x14ac:dyDescent="0.25">
      <c r="A24" s="59">
        <f t="shared" si="0"/>
        <v>44967</v>
      </c>
      <c r="B24">
        <f t="shared" si="1"/>
        <v>224</v>
      </c>
      <c r="C24" s="39">
        <v>8</v>
      </c>
      <c r="D24" s="40">
        <f t="shared" si="7"/>
        <v>90000</v>
      </c>
      <c r="E24" s="40">
        <f t="shared" si="2"/>
        <v>7560</v>
      </c>
      <c r="F24" s="40">
        <f t="shared" si="8"/>
        <v>7560</v>
      </c>
      <c r="G24" s="41">
        <f t="shared" si="9"/>
        <v>0</v>
      </c>
      <c r="H24" s="92">
        <f t="shared" si="10"/>
        <v>6804</v>
      </c>
      <c r="I24" s="45">
        <f t="shared" si="11"/>
        <v>6804</v>
      </c>
      <c r="K24" s="59">
        <f t="shared" si="3"/>
        <v>44967</v>
      </c>
      <c r="L24">
        <f t="shared" si="12"/>
        <v>224</v>
      </c>
      <c r="M24" s="39">
        <v>8</v>
      </c>
      <c r="N24" s="40">
        <f t="shared" si="13"/>
        <v>90000</v>
      </c>
      <c r="O24" s="40">
        <f t="shared" si="4"/>
        <v>7560</v>
      </c>
      <c r="P24" s="40">
        <f t="shared" si="14"/>
        <v>7560</v>
      </c>
      <c r="Q24" s="41">
        <f t="shared" si="15"/>
        <v>0</v>
      </c>
      <c r="R24" s="92">
        <f t="shared" si="16"/>
        <v>6804</v>
      </c>
      <c r="S24" s="45">
        <f t="shared" si="17"/>
        <v>6804</v>
      </c>
      <c r="V24" s="59">
        <f t="shared" si="5"/>
        <v>44967</v>
      </c>
      <c r="W24">
        <f t="shared" si="18"/>
        <v>224</v>
      </c>
      <c r="X24" s="39">
        <v>8</v>
      </c>
      <c r="Y24" s="40">
        <f t="shared" si="19"/>
        <v>90000</v>
      </c>
      <c r="Z24" s="40">
        <f t="shared" si="6"/>
        <v>7560</v>
      </c>
      <c r="AA24" s="40">
        <f t="shared" si="20"/>
        <v>7560</v>
      </c>
      <c r="AB24" s="41">
        <f t="shared" si="21"/>
        <v>0</v>
      </c>
      <c r="AC24" s="92">
        <f t="shared" si="22"/>
        <v>6804</v>
      </c>
      <c r="AD24" s="45">
        <f t="shared" si="23"/>
        <v>6804</v>
      </c>
      <c r="AG24" s="124"/>
    </row>
    <row r="25" spans="1:33" x14ac:dyDescent="0.25">
      <c r="A25" s="59">
        <f t="shared" si="0"/>
        <v>44995</v>
      </c>
      <c r="B25">
        <f t="shared" si="1"/>
        <v>252</v>
      </c>
      <c r="C25" s="39">
        <v>9</v>
      </c>
      <c r="D25" s="40">
        <f t="shared" si="7"/>
        <v>90000</v>
      </c>
      <c r="E25" s="40">
        <f t="shared" si="2"/>
        <v>7560</v>
      </c>
      <c r="F25" s="40">
        <f t="shared" si="8"/>
        <v>7560</v>
      </c>
      <c r="G25" s="41">
        <f t="shared" si="9"/>
        <v>0</v>
      </c>
      <c r="H25" s="92">
        <f t="shared" si="10"/>
        <v>6804</v>
      </c>
      <c r="I25" s="45">
        <f t="shared" si="11"/>
        <v>6804</v>
      </c>
      <c r="K25" s="59">
        <f t="shared" si="3"/>
        <v>44995</v>
      </c>
      <c r="L25">
        <f t="shared" si="12"/>
        <v>252</v>
      </c>
      <c r="M25" s="39">
        <v>9</v>
      </c>
      <c r="N25" s="40">
        <f t="shared" si="13"/>
        <v>90000</v>
      </c>
      <c r="O25" s="40">
        <f t="shared" si="4"/>
        <v>7560</v>
      </c>
      <c r="P25" s="40">
        <f t="shared" si="14"/>
        <v>7560</v>
      </c>
      <c r="Q25" s="41">
        <f t="shared" si="15"/>
        <v>0</v>
      </c>
      <c r="R25" s="92">
        <f t="shared" si="16"/>
        <v>6804</v>
      </c>
      <c r="S25" s="45">
        <f t="shared" si="17"/>
        <v>6804</v>
      </c>
      <c r="V25" s="59">
        <f t="shared" si="5"/>
        <v>44995</v>
      </c>
      <c r="W25">
        <f t="shared" si="18"/>
        <v>252</v>
      </c>
      <c r="X25" s="39">
        <v>9</v>
      </c>
      <c r="Y25" s="40">
        <f t="shared" si="19"/>
        <v>90000</v>
      </c>
      <c r="Z25" s="40">
        <f t="shared" si="6"/>
        <v>7560</v>
      </c>
      <c r="AA25" s="40">
        <f t="shared" si="20"/>
        <v>7560</v>
      </c>
      <c r="AB25" s="41">
        <f t="shared" si="21"/>
        <v>0</v>
      </c>
      <c r="AC25" s="92">
        <f t="shared" si="22"/>
        <v>6804</v>
      </c>
      <c r="AD25" s="45">
        <f t="shared" si="23"/>
        <v>6804</v>
      </c>
      <c r="AG25" s="124"/>
    </row>
    <row r="26" spans="1:33" x14ac:dyDescent="0.25">
      <c r="A26" s="59">
        <f t="shared" si="0"/>
        <v>45023</v>
      </c>
      <c r="B26">
        <f t="shared" si="1"/>
        <v>280</v>
      </c>
      <c r="C26" s="39">
        <v>10</v>
      </c>
      <c r="D26" s="40">
        <f t="shared" si="7"/>
        <v>90000</v>
      </c>
      <c r="E26" s="40">
        <f t="shared" si="2"/>
        <v>7560</v>
      </c>
      <c r="F26" s="40">
        <f t="shared" si="8"/>
        <v>7560</v>
      </c>
      <c r="G26" s="41">
        <f t="shared" si="9"/>
        <v>0</v>
      </c>
      <c r="H26" s="92">
        <f t="shared" si="10"/>
        <v>6804</v>
      </c>
      <c r="I26" s="45">
        <f t="shared" si="11"/>
        <v>6804</v>
      </c>
      <c r="K26" s="59">
        <f t="shared" si="3"/>
        <v>45023</v>
      </c>
      <c r="L26">
        <f t="shared" si="12"/>
        <v>280</v>
      </c>
      <c r="M26" s="39">
        <v>10</v>
      </c>
      <c r="N26" s="40">
        <f t="shared" si="13"/>
        <v>90000</v>
      </c>
      <c r="O26" s="40">
        <f t="shared" si="4"/>
        <v>7560</v>
      </c>
      <c r="P26" s="40">
        <f t="shared" si="14"/>
        <v>7560</v>
      </c>
      <c r="Q26" s="41">
        <f t="shared" si="15"/>
        <v>0</v>
      </c>
      <c r="R26" s="92">
        <f t="shared" si="16"/>
        <v>6804</v>
      </c>
      <c r="S26" s="45">
        <f t="shared" si="17"/>
        <v>6804</v>
      </c>
      <c r="V26" s="59">
        <f t="shared" si="5"/>
        <v>45023</v>
      </c>
      <c r="W26">
        <f t="shared" si="18"/>
        <v>280</v>
      </c>
      <c r="X26" s="39">
        <v>10</v>
      </c>
      <c r="Y26" s="40">
        <f t="shared" si="19"/>
        <v>90000</v>
      </c>
      <c r="Z26" s="40">
        <f t="shared" si="6"/>
        <v>7560</v>
      </c>
      <c r="AA26" s="40">
        <f t="shared" si="20"/>
        <v>7560</v>
      </c>
      <c r="AB26" s="41">
        <f t="shared" si="21"/>
        <v>0</v>
      </c>
      <c r="AC26" s="92">
        <f t="shared" si="22"/>
        <v>6804</v>
      </c>
      <c r="AD26" s="45">
        <f t="shared" si="23"/>
        <v>6804</v>
      </c>
      <c r="AG26" s="124"/>
    </row>
    <row r="27" spans="1:33" x14ac:dyDescent="0.25">
      <c r="A27" s="59">
        <f t="shared" si="0"/>
        <v>45051</v>
      </c>
      <c r="B27">
        <f t="shared" si="1"/>
        <v>308</v>
      </c>
      <c r="C27" s="39">
        <v>11</v>
      </c>
      <c r="D27" s="40">
        <f t="shared" si="7"/>
        <v>90000</v>
      </c>
      <c r="E27" s="40">
        <f>$F$17</f>
        <v>7560</v>
      </c>
      <c r="F27" s="40">
        <f t="shared" si="8"/>
        <v>7560</v>
      </c>
      <c r="G27" s="41">
        <f t="shared" si="9"/>
        <v>0</v>
      </c>
      <c r="H27" s="92">
        <f t="shared" si="10"/>
        <v>6804</v>
      </c>
      <c r="I27" s="45">
        <f t="shared" si="11"/>
        <v>6804</v>
      </c>
      <c r="K27" s="59">
        <f t="shared" si="3"/>
        <v>45051</v>
      </c>
      <c r="L27">
        <f t="shared" si="12"/>
        <v>308</v>
      </c>
      <c r="M27" s="39">
        <v>11</v>
      </c>
      <c r="N27" s="40">
        <f t="shared" si="13"/>
        <v>90000</v>
      </c>
      <c r="O27" s="40">
        <f>$F$17</f>
        <v>7560</v>
      </c>
      <c r="P27" s="40">
        <f t="shared" si="14"/>
        <v>7560</v>
      </c>
      <c r="Q27" s="41">
        <f t="shared" si="15"/>
        <v>0</v>
      </c>
      <c r="R27" s="92">
        <f t="shared" si="16"/>
        <v>6804</v>
      </c>
      <c r="S27" s="45">
        <f t="shared" si="17"/>
        <v>6804</v>
      </c>
      <c r="V27" s="59">
        <f t="shared" si="5"/>
        <v>45051</v>
      </c>
      <c r="W27">
        <f t="shared" si="18"/>
        <v>308</v>
      </c>
      <c r="X27" s="39">
        <v>11</v>
      </c>
      <c r="Y27" s="40">
        <f t="shared" si="19"/>
        <v>90000</v>
      </c>
      <c r="Z27" s="40">
        <f>$F$17</f>
        <v>7560</v>
      </c>
      <c r="AA27" s="40">
        <f t="shared" si="20"/>
        <v>7560</v>
      </c>
      <c r="AB27" s="41">
        <f t="shared" si="21"/>
        <v>0</v>
      </c>
      <c r="AC27" s="92">
        <f t="shared" si="22"/>
        <v>6804</v>
      </c>
      <c r="AD27" s="45">
        <f t="shared" si="23"/>
        <v>6804</v>
      </c>
      <c r="AG27" s="124"/>
    </row>
    <row r="28" spans="1:33" x14ac:dyDescent="0.25">
      <c r="A28" s="59">
        <f t="shared" si="0"/>
        <v>45079</v>
      </c>
      <c r="B28">
        <f t="shared" si="1"/>
        <v>336</v>
      </c>
      <c r="C28" s="39">
        <v>12</v>
      </c>
      <c r="D28" s="40">
        <f t="shared" si="7"/>
        <v>90000</v>
      </c>
      <c r="E28" s="40">
        <f t="shared" si="2"/>
        <v>7560</v>
      </c>
      <c r="F28" s="40">
        <f t="shared" si="8"/>
        <v>7560</v>
      </c>
      <c r="G28" s="41">
        <f t="shared" si="9"/>
        <v>0</v>
      </c>
      <c r="H28" s="92">
        <f t="shared" si="10"/>
        <v>6804</v>
      </c>
      <c r="I28" s="45">
        <f t="shared" si="11"/>
        <v>6804</v>
      </c>
      <c r="K28" s="59">
        <f t="shared" si="3"/>
        <v>45079</v>
      </c>
      <c r="L28">
        <f t="shared" si="12"/>
        <v>336</v>
      </c>
      <c r="M28" s="39">
        <v>12</v>
      </c>
      <c r="N28" s="40">
        <f t="shared" si="13"/>
        <v>90000</v>
      </c>
      <c r="O28" s="40">
        <f t="shared" si="4"/>
        <v>7560</v>
      </c>
      <c r="P28" s="40">
        <f t="shared" si="14"/>
        <v>7560</v>
      </c>
      <c r="Q28" s="41">
        <f t="shared" si="15"/>
        <v>0</v>
      </c>
      <c r="R28" s="92">
        <f t="shared" si="16"/>
        <v>6804</v>
      </c>
      <c r="S28" s="45">
        <f t="shared" si="17"/>
        <v>6804</v>
      </c>
      <c r="V28" s="59">
        <f t="shared" si="5"/>
        <v>45079</v>
      </c>
      <c r="W28">
        <f t="shared" si="18"/>
        <v>336</v>
      </c>
      <c r="X28" s="39">
        <v>12</v>
      </c>
      <c r="Y28" s="40">
        <f t="shared" si="19"/>
        <v>90000</v>
      </c>
      <c r="Z28" s="40">
        <f t="shared" si="6"/>
        <v>7560</v>
      </c>
      <c r="AA28" s="40">
        <f t="shared" si="20"/>
        <v>7560</v>
      </c>
      <c r="AB28" s="41">
        <f t="shared" si="21"/>
        <v>0</v>
      </c>
      <c r="AC28" s="92">
        <f t="shared" si="22"/>
        <v>6804</v>
      </c>
      <c r="AD28" s="45">
        <f t="shared" si="23"/>
        <v>6804</v>
      </c>
      <c r="AG28" s="124"/>
    </row>
    <row r="29" spans="1:33" x14ac:dyDescent="0.25">
      <c r="A29" s="59">
        <f t="shared" si="0"/>
        <v>45107</v>
      </c>
      <c r="B29">
        <f t="shared" si="1"/>
        <v>364</v>
      </c>
      <c r="C29" s="39">
        <v>13</v>
      </c>
      <c r="D29" s="40">
        <f>D28-G28</f>
        <v>90000</v>
      </c>
      <c r="E29" s="40">
        <f>$F$17+D29</f>
        <v>97560</v>
      </c>
      <c r="F29" s="40">
        <f>ROUND(D29*$D$4,2)*$D$6</f>
        <v>7560</v>
      </c>
      <c r="G29" s="41">
        <f>E29-F29</f>
        <v>90000</v>
      </c>
      <c r="H29" s="92">
        <f>ROUND(D29*$E$4,2)*$D$6</f>
        <v>6804</v>
      </c>
      <c r="I29" s="45">
        <f>G29+H29</f>
        <v>96804</v>
      </c>
      <c r="K29" s="59">
        <f>K19+L29-L19</f>
        <v>45107</v>
      </c>
      <c r="L29">
        <f t="shared" si="12"/>
        <v>364</v>
      </c>
      <c r="M29" s="39">
        <v>13</v>
      </c>
      <c r="N29" s="40">
        <f>N28-Q28</f>
        <v>90000</v>
      </c>
      <c r="O29" s="40">
        <f>$F$17+N29</f>
        <v>97560</v>
      </c>
      <c r="P29" s="40">
        <f>ROUND(N29*$D$4,2)*$D$6</f>
        <v>7560</v>
      </c>
      <c r="Q29" s="41">
        <f>O29-P29</f>
        <v>90000</v>
      </c>
      <c r="R29" s="92">
        <f>ROUND(N29*$E$4,2)*$D$6</f>
        <v>6804</v>
      </c>
      <c r="S29" s="45">
        <f>Q29+R29</f>
        <v>96804</v>
      </c>
      <c r="V29" s="59">
        <f t="shared" si="5"/>
        <v>45107</v>
      </c>
      <c r="W29">
        <f t="shared" si="18"/>
        <v>364</v>
      </c>
      <c r="X29" s="39">
        <v>13</v>
      </c>
      <c r="Y29" s="40">
        <f>Y28-AB28</f>
        <v>90000</v>
      </c>
      <c r="Z29" s="40">
        <f>$F$17+Y29</f>
        <v>97560</v>
      </c>
      <c r="AA29" s="40">
        <f>ROUND(Y29*$D$4,2)*$D$6</f>
        <v>7560</v>
      </c>
      <c r="AB29" s="41">
        <f>Z29-AA29</f>
        <v>90000</v>
      </c>
      <c r="AC29" s="92">
        <f>ROUND(Y29*$E$4,2)*$D$6</f>
        <v>6804</v>
      </c>
      <c r="AD29" s="45">
        <f>AB29+AC29</f>
        <v>96804</v>
      </c>
      <c r="AG29" s="124"/>
    </row>
    <row r="30" spans="1:33" ht="15.75" thickBot="1" x14ac:dyDescent="0.3">
      <c r="C30" s="136" t="s">
        <v>20</v>
      </c>
      <c r="D30" s="137"/>
      <c r="E30" s="122">
        <f>SUM(E16:E29)</f>
        <v>188280</v>
      </c>
      <c r="F30" s="122">
        <f>SUM(F16:F29)</f>
        <v>98280</v>
      </c>
      <c r="G30" s="47">
        <f>SUM(G16:G29)</f>
        <v>90000</v>
      </c>
      <c r="H30" s="48">
        <f>SUM(H17:H29)</f>
        <v>88452</v>
      </c>
      <c r="I30" s="49">
        <f>G30+H30</f>
        <v>178452</v>
      </c>
      <c r="K30" s="59"/>
      <c r="M30" s="136" t="s">
        <v>20</v>
      </c>
      <c r="N30" s="137"/>
      <c r="O30" s="122">
        <f>SUM(O16:O29)</f>
        <v>188280</v>
      </c>
      <c r="P30" s="122">
        <f>SUM(P16:P29)</f>
        <v>98280</v>
      </c>
      <c r="Q30" s="47">
        <f>SUM(Q16:Q29)</f>
        <v>90000</v>
      </c>
      <c r="R30" s="48">
        <f>SUM(R17:R29)</f>
        <v>88452</v>
      </c>
      <c r="S30" s="49">
        <f>Q30+R30</f>
        <v>178452</v>
      </c>
      <c r="V30" s="59"/>
      <c r="X30" s="136" t="s">
        <v>20</v>
      </c>
      <c r="Y30" s="137"/>
      <c r="Z30" s="122">
        <f>SUM(Z16:Z29)</f>
        <v>188280</v>
      </c>
      <c r="AA30" s="122">
        <f>SUM(AA16:AA29)</f>
        <v>98280</v>
      </c>
      <c r="AB30" s="47">
        <f>SUM(AB16:AB29)</f>
        <v>90000</v>
      </c>
      <c r="AC30" s="48">
        <f>SUM(AC17:AC29)</f>
        <v>88452</v>
      </c>
      <c r="AD30" s="49">
        <f>AB30+AC30</f>
        <v>178452</v>
      </c>
      <c r="AG30" s="124"/>
    </row>
    <row r="31" spans="1:33" ht="15.75" thickBot="1" x14ac:dyDescent="0.3">
      <c r="E31" s="28">
        <f>E30/G30</f>
        <v>2.0920000000000001</v>
      </c>
      <c r="I31" s="29">
        <f>I30/G30</f>
        <v>1.9827999999999999</v>
      </c>
      <c r="K31" s="59"/>
      <c r="O31" s="28">
        <f>O30/Q30</f>
        <v>2.0920000000000001</v>
      </c>
      <c r="S31" s="29">
        <f>S30/Q30</f>
        <v>1.9827999999999999</v>
      </c>
      <c r="V31" s="59"/>
      <c r="Z31" s="28">
        <f>Z30/AB30</f>
        <v>2.0920000000000001</v>
      </c>
      <c r="AD31" s="29">
        <f>AD30/AB30</f>
        <v>1.9827999999999999</v>
      </c>
      <c r="AG31" s="124"/>
    </row>
    <row r="32" spans="1:33" hidden="1" x14ac:dyDescent="0.25">
      <c r="AG32" s="124"/>
    </row>
    <row r="33" spans="1:35" hidden="1" x14ac:dyDescent="0.25"/>
    <row r="34" spans="1:35" hidden="1" x14ac:dyDescent="0.25"/>
    <row r="35" spans="1:35" ht="75" x14ac:dyDescent="0.25">
      <c r="N35" s="67" t="s">
        <v>97</v>
      </c>
      <c r="O35" s="9" t="s">
        <v>45</v>
      </c>
      <c r="P35" s="10" t="s">
        <v>65</v>
      </c>
      <c r="Q35" s="10" t="s">
        <v>98</v>
      </c>
      <c r="R35" s="10" t="s">
        <v>47</v>
      </c>
      <c r="S35" s="10" t="s">
        <v>48</v>
      </c>
      <c r="T35" s="10" t="s">
        <v>69</v>
      </c>
      <c r="U35" s="11" t="s">
        <v>49</v>
      </c>
      <c r="Z35" s="67" t="s">
        <v>97</v>
      </c>
      <c r="AA35" s="9" t="s">
        <v>45</v>
      </c>
      <c r="AB35" s="10" t="s">
        <v>65</v>
      </c>
      <c r="AC35" s="10" t="s">
        <v>98</v>
      </c>
      <c r="AD35" s="10" t="s">
        <v>47</v>
      </c>
      <c r="AE35" s="10" t="s">
        <v>48</v>
      </c>
      <c r="AF35" s="10" t="s">
        <v>69</v>
      </c>
      <c r="AG35" s="11" t="s">
        <v>49</v>
      </c>
    </row>
    <row r="36" spans="1:35" ht="15.75" thickBot="1" x14ac:dyDescent="0.3">
      <c r="O36" s="56">
        <f>N18</f>
        <v>90000</v>
      </c>
      <c r="P36" s="57">
        <f>O18</f>
        <v>7560</v>
      </c>
      <c r="Q36" s="57">
        <f>ROUND(O36*$D$4,2)*(N45-N44)</f>
        <v>7560</v>
      </c>
      <c r="R36" s="57">
        <f>S18</f>
        <v>6804</v>
      </c>
      <c r="S36" s="44">
        <f>ROUND(O36*$E$4,2)*(N45-N44)</f>
        <v>6804</v>
      </c>
      <c r="T36" s="57">
        <f>O36+S36</f>
        <v>96804</v>
      </c>
      <c r="U36" s="30">
        <f>O36+Q36</f>
        <v>97560</v>
      </c>
      <c r="Z36" s="78" t="s">
        <v>79</v>
      </c>
      <c r="AA36" s="56">
        <f>Y18</f>
        <v>90000</v>
      </c>
      <c r="AB36" s="57">
        <f>Z18</f>
        <v>7560</v>
      </c>
      <c r="AC36" s="57">
        <f>ROUND(AA36*$D$4,2)*(Z45-Z44)</f>
        <v>7560</v>
      </c>
      <c r="AD36" s="57">
        <f>AB18</f>
        <v>0</v>
      </c>
      <c r="AE36" s="44">
        <f>ROUND(AA36*$E$4,2)*(Z45-Z44)</f>
        <v>6804</v>
      </c>
      <c r="AF36" s="57">
        <f>AA36+AE36</f>
        <v>96804</v>
      </c>
      <c r="AG36" s="30">
        <f>AA36+AC36</f>
        <v>97560</v>
      </c>
    </row>
    <row r="38" spans="1:35" ht="16.5" customHeight="1" x14ac:dyDescent="0.25">
      <c r="AA38" t="s">
        <v>45</v>
      </c>
      <c r="AB38" t="s">
        <v>82</v>
      </c>
    </row>
    <row r="39" spans="1:35" ht="15.75" thickBot="1" x14ac:dyDescent="0.3">
      <c r="Z39" s="77" t="s">
        <v>80</v>
      </c>
      <c r="AA39" s="56">
        <f>AE44</f>
        <v>0</v>
      </c>
      <c r="AB39" s="57">
        <f>AD44+ROUND(AA39*$D$4,2)*(Z45-Z44)</f>
        <v>7560</v>
      </c>
      <c r="AC39" s="79">
        <f>AA39+AB39</f>
        <v>7560</v>
      </c>
    </row>
    <row r="40" spans="1:35" x14ac:dyDescent="0.25">
      <c r="B40" s="60"/>
      <c r="C40" s="60"/>
      <c r="D40" s="60"/>
    </row>
    <row r="41" spans="1:35" ht="65.25" customHeight="1" thickBot="1" x14ac:dyDescent="0.3">
      <c r="B41" s="60" t="s">
        <v>90</v>
      </c>
      <c r="C41" s="60">
        <v>10000</v>
      </c>
      <c r="D41" s="132" t="s">
        <v>109</v>
      </c>
      <c r="E41" s="145" t="s">
        <v>106</v>
      </c>
      <c r="F41" s="145"/>
      <c r="G41" s="145"/>
      <c r="H41" s="145"/>
      <c r="I41" s="145"/>
      <c r="K41" s="23" t="s">
        <v>84</v>
      </c>
      <c r="N41" t="s">
        <v>70</v>
      </c>
      <c r="O41" s="32">
        <v>22000</v>
      </c>
      <c r="P41" s="128"/>
      <c r="Q41" t="s">
        <v>110</v>
      </c>
      <c r="W41" s="23" t="s">
        <v>84</v>
      </c>
      <c r="Z41" t="s">
        <v>70</v>
      </c>
      <c r="AA41" s="32">
        <v>20000</v>
      </c>
      <c r="AB41" t="s">
        <v>112</v>
      </c>
      <c r="AC41" s="68">
        <f>AC39+AC44</f>
        <v>15120</v>
      </c>
      <c r="AD41" t="s">
        <v>111</v>
      </c>
    </row>
    <row r="42" spans="1:35" ht="45" x14ac:dyDescent="0.25">
      <c r="A42" t="s">
        <v>77</v>
      </c>
      <c r="B42" t="s">
        <v>76</v>
      </c>
      <c r="C42" s="9" t="s">
        <v>15</v>
      </c>
      <c r="D42" s="10" t="s">
        <v>71</v>
      </c>
      <c r="E42" s="10" t="s">
        <v>73</v>
      </c>
      <c r="F42" s="10" t="s">
        <v>72</v>
      </c>
      <c r="G42" s="11" t="s">
        <v>19</v>
      </c>
      <c r="H42" s="146" t="s">
        <v>85</v>
      </c>
      <c r="I42" s="25" t="s">
        <v>86</v>
      </c>
      <c r="K42">
        <v>12</v>
      </c>
      <c r="M42" t="s">
        <v>77</v>
      </c>
      <c r="N42" t="s">
        <v>76</v>
      </c>
      <c r="O42" s="9" t="s">
        <v>15</v>
      </c>
      <c r="P42" s="10" t="s">
        <v>71</v>
      </c>
      <c r="Q42" s="10" t="s">
        <v>73</v>
      </c>
      <c r="R42" s="10" t="s">
        <v>72</v>
      </c>
      <c r="S42" s="11" t="s">
        <v>19</v>
      </c>
      <c r="T42" s="24" t="s">
        <v>85</v>
      </c>
      <c r="U42" s="25" t="s">
        <v>86</v>
      </c>
      <c r="W42">
        <v>11</v>
      </c>
      <c r="Y42" t="s">
        <v>77</v>
      </c>
      <c r="Z42" t="s">
        <v>76</v>
      </c>
      <c r="AA42" s="9" t="s">
        <v>15</v>
      </c>
      <c r="AB42" s="10" t="s">
        <v>71</v>
      </c>
      <c r="AC42" s="10" t="s">
        <v>73</v>
      </c>
      <c r="AD42" s="10" t="s">
        <v>72</v>
      </c>
      <c r="AE42" s="11" t="s">
        <v>19</v>
      </c>
      <c r="AF42" s="24" t="s">
        <v>85</v>
      </c>
      <c r="AG42" s="25" t="s">
        <v>86</v>
      </c>
      <c r="AI42">
        <v>11</v>
      </c>
    </row>
    <row r="43" spans="1:35" x14ac:dyDescent="0.25">
      <c r="A43" s="59">
        <v>44743</v>
      </c>
      <c r="B43">
        <v>0</v>
      </c>
      <c r="C43" s="38">
        <v>0</v>
      </c>
      <c r="E43" s="40"/>
      <c r="F43" s="40"/>
      <c r="H43" s="42"/>
      <c r="I43" s="43"/>
      <c r="M43" s="59">
        <v>44743</v>
      </c>
      <c r="N43">
        <v>0</v>
      </c>
      <c r="O43" s="38">
        <v>0</v>
      </c>
      <c r="Q43" s="40"/>
      <c r="R43" s="40"/>
      <c r="T43" s="42"/>
      <c r="U43" s="43"/>
      <c r="Y43" s="59">
        <v>44743</v>
      </c>
      <c r="Z43">
        <v>0</v>
      </c>
      <c r="AA43" s="38">
        <v>0</v>
      </c>
      <c r="AC43" s="40"/>
      <c r="AD43" s="40"/>
      <c r="AF43" s="42"/>
      <c r="AG43" s="43"/>
    </row>
    <row r="44" spans="1:35" x14ac:dyDescent="0.25">
      <c r="A44" s="59">
        <f>A43+B44-B43</f>
        <v>44771</v>
      </c>
      <c r="B44">
        <v>28</v>
      </c>
      <c r="C44" s="38">
        <v>1</v>
      </c>
      <c r="D44" s="40">
        <f>D17</f>
        <v>90000</v>
      </c>
      <c r="E44" s="40">
        <f>E17</f>
        <v>7560</v>
      </c>
      <c r="F44" s="40">
        <f>ROUND(D44*$D$4,2)*$D$6</f>
        <v>7560</v>
      </c>
      <c r="G44" s="41">
        <f>E44-F44</f>
        <v>0</v>
      </c>
      <c r="H44" s="92">
        <f>ROUND(D44*$E$4,2)*(B44-B43)</f>
        <v>6804</v>
      </c>
      <c r="I44" s="43">
        <f>G44+H44</f>
        <v>6804</v>
      </c>
      <c r="M44" s="59">
        <f>M43+N44-N43</f>
        <v>44771</v>
      </c>
      <c r="N44">
        <v>28</v>
      </c>
      <c r="O44" s="38">
        <v>1</v>
      </c>
      <c r="P44" s="53">
        <f>N17</f>
        <v>90000</v>
      </c>
      <c r="Q44" s="53">
        <f>ROUND(P44*$D$4,2)*(N44-N43)</f>
        <v>7560</v>
      </c>
      <c r="R44" s="53">
        <f>ROUND(P44*$D$4,2)*$D$6</f>
        <v>7560</v>
      </c>
      <c r="S44" s="54">
        <f>Q17</f>
        <v>0</v>
      </c>
      <c r="T44" s="92">
        <f>ROUND(P44*$E$4,2)*(N44-N43)</f>
        <v>6804</v>
      </c>
      <c r="U44" s="117">
        <f>S44+T44</f>
        <v>6804</v>
      </c>
      <c r="Y44" s="59">
        <f>Y43+Z44-Z43</f>
        <v>44771</v>
      </c>
      <c r="Z44">
        <v>28</v>
      </c>
      <c r="AA44" s="38">
        <v>1</v>
      </c>
      <c r="AB44" s="74">
        <f>Y17</f>
        <v>90000</v>
      </c>
      <c r="AC44" s="74">
        <f>AE44+AD44</f>
        <v>7560</v>
      </c>
      <c r="AD44" s="74">
        <f>ROUND(AB44*$D$4,2)*$D$6</f>
        <v>7560</v>
      </c>
      <c r="AE44" s="75">
        <f>AB17</f>
        <v>0</v>
      </c>
      <c r="AF44" s="87">
        <f>ROUND(AB44*$E$4,2)*(Z44-Z43)</f>
        <v>6804</v>
      </c>
      <c r="AG44" s="88">
        <f>AE44+AF44</f>
        <v>6804</v>
      </c>
    </row>
    <row r="45" spans="1:35" x14ac:dyDescent="0.25">
      <c r="A45" s="59">
        <f>A44+B45-B44</f>
        <v>44771</v>
      </c>
      <c r="B45" s="64">
        <v>28</v>
      </c>
      <c r="C45" s="38"/>
      <c r="F45" s="72">
        <v>0</v>
      </c>
      <c r="G45" s="71">
        <f>C41-F45-G44-H44</f>
        <v>3196</v>
      </c>
      <c r="H45" s="44"/>
      <c r="I45" s="45"/>
      <c r="M45" s="59">
        <f>M44+N45-N44</f>
        <v>44799</v>
      </c>
      <c r="N45">
        <f>N44+$D$6</f>
        <v>56</v>
      </c>
      <c r="O45" s="38">
        <v>2</v>
      </c>
      <c r="P45" s="53">
        <f>P44-S44</f>
        <v>90000</v>
      </c>
      <c r="Q45" s="53">
        <f>ROUND(P45*$D$4,2)*(N45-N44)</f>
        <v>7560</v>
      </c>
      <c r="R45" s="53">
        <f>ROUND(P45*$D$4,2)*$D$6</f>
        <v>7560</v>
      </c>
      <c r="S45" s="54">
        <f>Q18</f>
        <v>0</v>
      </c>
      <c r="T45" s="92">
        <f>ROUND(P45*$E$4,2)*(N45-N44)</f>
        <v>6804</v>
      </c>
      <c r="U45" s="117">
        <f>S45+T45</f>
        <v>6804</v>
      </c>
      <c r="Y45" s="59">
        <f>Y44+Z45-Z44</f>
        <v>44799</v>
      </c>
      <c r="Z45">
        <f>Z44+$D$6</f>
        <v>56</v>
      </c>
      <c r="AA45" s="38">
        <v>2</v>
      </c>
      <c r="AB45" s="53">
        <f>AB44-AE44</f>
        <v>90000</v>
      </c>
      <c r="AC45" s="53">
        <f>AD45+AE45</f>
        <v>7560</v>
      </c>
      <c r="AD45" s="53">
        <f>ROUND(AB45*$D$4,2)*(Z45-Z44)</f>
        <v>7560</v>
      </c>
      <c r="AE45" s="54">
        <f>AB18</f>
        <v>0</v>
      </c>
      <c r="AF45" s="92">
        <f>ROUND(AB45*$E$4,2)*(Z45-Z44)</f>
        <v>6804</v>
      </c>
      <c r="AG45" s="119">
        <f>AE45+AF45</f>
        <v>6804</v>
      </c>
    </row>
    <row r="46" spans="1:35" x14ac:dyDescent="0.25">
      <c r="A46" s="59">
        <f>A45+B46-B45</f>
        <v>44799</v>
      </c>
      <c r="B46">
        <f>B45+$D$6</f>
        <v>56</v>
      </c>
      <c r="C46" s="39">
        <v>2</v>
      </c>
      <c r="D46" s="40">
        <f>D44-G44-G45</f>
        <v>86804</v>
      </c>
      <c r="E46" s="40">
        <f>$F46</f>
        <v>7291.4800000000005</v>
      </c>
      <c r="F46" s="40">
        <f>ROUND(D46*$D$4,2)*$D$6</f>
        <v>7291.4800000000005</v>
      </c>
      <c r="G46" s="41">
        <f>E46-F46</f>
        <v>0</v>
      </c>
      <c r="H46" s="92">
        <f>ROUND(D46*$E$4,2)*(B46-B45)</f>
        <v>6562.3600000000006</v>
      </c>
      <c r="I46" s="43">
        <f>G46+H46</f>
        <v>6562.3600000000006</v>
      </c>
      <c r="M46" s="59">
        <f t="shared" ref="M46:M56" si="24">M45+N46-N45</f>
        <v>44799</v>
      </c>
      <c r="N46" s="64">
        <v>56</v>
      </c>
      <c r="O46" s="38">
        <v>2</v>
      </c>
      <c r="R46" s="72">
        <v>0</v>
      </c>
      <c r="S46" s="71">
        <f>O41-T45-S45</f>
        <v>15196</v>
      </c>
      <c r="T46" s="44"/>
      <c r="U46" s="45"/>
      <c r="Y46" s="59">
        <f>Y45+Z46-Z45</f>
        <v>44799</v>
      </c>
      <c r="Z46" s="64">
        <v>56</v>
      </c>
      <c r="AA46" s="38">
        <v>2</v>
      </c>
      <c r="AD46" s="72">
        <v>0</v>
      </c>
      <c r="AE46" s="71">
        <f>AA41-AC39-AF45-AE45</f>
        <v>5636</v>
      </c>
      <c r="AF46" s="44"/>
      <c r="AG46" s="45"/>
    </row>
    <row r="47" spans="1:35" x14ac:dyDescent="0.25">
      <c r="A47" s="59">
        <f t="shared" ref="A47:A57" si="25">A46+B47-B46</f>
        <v>44827</v>
      </c>
      <c r="B47">
        <f>B46+$D$6</f>
        <v>84</v>
      </c>
      <c r="C47" s="39">
        <v>3</v>
      </c>
      <c r="D47" s="40">
        <f>$D$46</f>
        <v>86804</v>
      </c>
      <c r="E47" s="40">
        <f t="shared" ref="E47:E56" si="26">$F47</f>
        <v>7291.4800000000005</v>
      </c>
      <c r="F47" s="40">
        <f>ROUND(D47*$D$4,2)*$D$6</f>
        <v>7291.4800000000005</v>
      </c>
      <c r="G47" s="41">
        <f>E47-F47</f>
        <v>0</v>
      </c>
      <c r="H47" s="92">
        <f>ROUND(D47*$E$4,2)*(B47-B46)</f>
        <v>6562.3600000000006</v>
      </c>
      <c r="I47" s="43">
        <f>G47+H47</f>
        <v>6562.3600000000006</v>
      </c>
      <c r="M47" s="59">
        <f t="shared" si="24"/>
        <v>44827</v>
      </c>
      <c r="N47">
        <f>N46+$D$6</f>
        <v>84</v>
      </c>
      <c r="O47" s="38">
        <v>3</v>
      </c>
      <c r="P47" s="40">
        <f>P45-S45-S46</f>
        <v>74804</v>
      </c>
      <c r="Q47" s="40">
        <f>$R$47</f>
        <v>6283.48</v>
      </c>
      <c r="R47" s="40">
        <f>ROUND(P47*$D$4,2)*$D$6</f>
        <v>6283.48</v>
      </c>
      <c r="S47" s="41">
        <f>Q47-R47</f>
        <v>0</v>
      </c>
      <c r="T47" s="92">
        <f>ROUND(P47*$E$4,2)*(N47-N46)</f>
        <v>5655.16</v>
      </c>
      <c r="U47" s="43">
        <f>S47+T47</f>
        <v>5655.16</v>
      </c>
      <c r="Y47" s="59">
        <f t="shared" ref="Y47:Y57" si="27">Y46+Z47-Z46</f>
        <v>44827</v>
      </c>
      <c r="Z47">
        <f>Z46+$D$6</f>
        <v>84</v>
      </c>
      <c r="AA47" s="38">
        <v>3</v>
      </c>
      <c r="AB47" s="40">
        <f>AB45-AE45-AE46</f>
        <v>84364</v>
      </c>
      <c r="AC47" s="40">
        <f>$AD$47</f>
        <v>7086.52</v>
      </c>
      <c r="AD47" s="40">
        <f>ROUND(AB47*$D$4,2)*$D$6</f>
        <v>7086.52</v>
      </c>
      <c r="AE47" s="41">
        <f>AC47-AD47</f>
        <v>0</v>
      </c>
      <c r="AF47" s="92">
        <f>ROUND(AB47*$E$4,2)*(Z47-Z46)</f>
        <v>6377.84</v>
      </c>
      <c r="AG47" s="43">
        <f>AE47+AF47</f>
        <v>6377.84</v>
      </c>
    </row>
    <row r="48" spans="1:35" x14ac:dyDescent="0.25">
      <c r="A48" s="59">
        <f t="shared" si="25"/>
        <v>44855</v>
      </c>
      <c r="B48">
        <f t="shared" ref="B48:B56" si="28">B47+$D$6</f>
        <v>112</v>
      </c>
      <c r="C48" s="39">
        <v>4</v>
      </c>
      <c r="D48" s="40">
        <f t="shared" ref="D48:D56" si="29">$D$46</f>
        <v>86804</v>
      </c>
      <c r="E48" s="40">
        <f t="shared" si="26"/>
        <v>7291.4800000000005</v>
      </c>
      <c r="F48" s="40">
        <f t="shared" ref="F48:F56" si="30">ROUND(D48*$D$4,2)*$D$6</f>
        <v>7291.4800000000005</v>
      </c>
      <c r="G48" s="41">
        <f t="shared" ref="G48:G56" si="31">E48-F48</f>
        <v>0</v>
      </c>
      <c r="H48" s="92">
        <f t="shared" ref="H48:H56" si="32">ROUND(D48*$E$4,2)*(B48-B47)</f>
        <v>6562.3600000000006</v>
      </c>
      <c r="I48" s="43">
        <f t="shared" ref="I48:I56" si="33">G48+H48</f>
        <v>6562.3600000000006</v>
      </c>
      <c r="M48" s="59">
        <f t="shared" si="24"/>
        <v>44855</v>
      </c>
      <c r="N48">
        <f>N47+$D$6</f>
        <v>112</v>
      </c>
      <c r="O48" s="38">
        <v>4</v>
      </c>
      <c r="P48" s="40">
        <f xml:space="preserve"> $P$47</f>
        <v>74804</v>
      </c>
      <c r="Q48" s="40">
        <f t="shared" ref="Q48:Q56" si="34">$R$47</f>
        <v>6283.48</v>
      </c>
      <c r="R48" s="40">
        <f>ROUND(P48*$D$4,2)*$D$6</f>
        <v>6283.48</v>
      </c>
      <c r="S48" s="41">
        <f>Q48-R48</f>
        <v>0</v>
      </c>
      <c r="T48" s="92">
        <f>ROUND(P48*$E$4,2)*(N48-N47)</f>
        <v>5655.16</v>
      </c>
      <c r="U48" s="43">
        <f>S48+T48</f>
        <v>5655.16</v>
      </c>
      <c r="Y48" s="59">
        <f t="shared" si="27"/>
        <v>44855</v>
      </c>
      <c r="Z48">
        <f t="shared" ref="Z48:Z55" si="35">Z47+$D$6</f>
        <v>112</v>
      </c>
      <c r="AA48" s="38">
        <v>4</v>
      </c>
      <c r="AB48" s="40">
        <f xml:space="preserve"> $AB$47</f>
        <v>84364</v>
      </c>
      <c r="AC48" s="40">
        <f t="shared" ref="AC48:AC56" si="36">$AD$47</f>
        <v>7086.52</v>
      </c>
      <c r="AD48" s="40">
        <f>ROUND(AB48*$D$4,2)*$D$6</f>
        <v>7086.52</v>
      </c>
      <c r="AE48" s="41">
        <f>AC48-AD48</f>
        <v>0</v>
      </c>
      <c r="AF48" s="92">
        <f>ROUND(AB48*$E$4,2)*(Z48-Z47)</f>
        <v>6377.84</v>
      </c>
      <c r="AG48" s="43">
        <f>AE48+AF48</f>
        <v>6377.84</v>
      </c>
    </row>
    <row r="49" spans="1:33" x14ac:dyDescent="0.25">
      <c r="A49" s="59">
        <f t="shared" si="25"/>
        <v>44883</v>
      </c>
      <c r="B49">
        <f t="shared" si="28"/>
        <v>140</v>
      </c>
      <c r="C49" s="39">
        <v>5</v>
      </c>
      <c r="D49" s="40">
        <f t="shared" si="29"/>
        <v>86804</v>
      </c>
      <c r="E49" s="40">
        <f t="shared" si="26"/>
        <v>7291.4800000000005</v>
      </c>
      <c r="F49" s="40">
        <f t="shared" si="30"/>
        <v>7291.4800000000005</v>
      </c>
      <c r="G49" s="41">
        <f t="shared" si="31"/>
        <v>0</v>
      </c>
      <c r="H49" s="92">
        <f t="shared" si="32"/>
        <v>6562.3600000000006</v>
      </c>
      <c r="I49" s="43">
        <f t="shared" si="33"/>
        <v>6562.3600000000006</v>
      </c>
      <c r="M49" s="59">
        <f t="shared" si="24"/>
        <v>44883</v>
      </c>
      <c r="N49">
        <f t="shared" ref="N49:N56" si="37">N48+$D$6</f>
        <v>140</v>
      </c>
      <c r="O49" s="38">
        <v>5</v>
      </c>
      <c r="P49" s="40">
        <f t="shared" ref="P49:P56" si="38" xml:space="preserve"> $P$47</f>
        <v>74804</v>
      </c>
      <c r="Q49" s="40">
        <f t="shared" si="34"/>
        <v>6283.48</v>
      </c>
      <c r="R49" s="40">
        <f t="shared" ref="R49:R55" si="39">ROUND(P49*$D$4,2)*$D$6</f>
        <v>6283.48</v>
      </c>
      <c r="S49" s="41">
        <f t="shared" ref="S49:S56" si="40">Q49-R49</f>
        <v>0</v>
      </c>
      <c r="T49" s="92">
        <f t="shared" ref="T49:T56" si="41">ROUND(P49*$E$4,2)*(N49-N48)</f>
        <v>5655.16</v>
      </c>
      <c r="U49" s="43">
        <f t="shared" ref="U49:U55" si="42">S49+T49</f>
        <v>5655.16</v>
      </c>
      <c r="Y49" s="59">
        <f t="shared" si="27"/>
        <v>44883</v>
      </c>
      <c r="Z49">
        <f t="shared" si="35"/>
        <v>140</v>
      </c>
      <c r="AA49" s="38">
        <v>5</v>
      </c>
      <c r="AB49" s="40">
        <f t="shared" ref="AB49:AB55" si="43" xml:space="preserve"> $AB$47</f>
        <v>84364</v>
      </c>
      <c r="AC49" s="40">
        <f t="shared" si="36"/>
        <v>7086.52</v>
      </c>
      <c r="AD49" s="40">
        <f t="shared" ref="AD49:AD55" si="44">ROUND(AB49*$D$4,2)*$D$6</f>
        <v>7086.52</v>
      </c>
      <c r="AE49" s="41">
        <f t="shared" ref="AE49:AE56" si="45">AC49-AD49</f>
        <v>0</v>
      </c>
      <c r="AF49" s="92">
        <f t="shared" ref="AF49:AF55" si="46">ROUND(AB49*$E$4,2)*(Z49-Z48)</f>
        <v>6377.84</v>
      </c>
      <c r="AG49" s="45">
        <f t="shared" ref="AG49:AG57" si="47">AE49+AF49</f>
        <v>6377.84</v>
      </c>
    </row>
    <row r="50" spans="1:33" x14ac:dyDescent="0.25">
      <c r="A50" s="59">
        <f t="shared" si="25"/>
        <v>44911</v>
      </c>
      <c r="B50">
        <f t="shared" si="28"/>
        <v>168</v>
      </c>
      <c r="C50" s="39">
        <v>6</v>
      </c>
      <c r="D50" s="40">
        <f t="shared" si="29"/>
        <v>86804</v>
      </c>
      <c r="E50" s="40">
        <f t="shared" si="26"/>
        <v>7291.4800000000005</v>
      </c>
      <c r="F50" s="40">
        <f t="shared" si="30"/>
        <v>7291.4800000000005</v>
      </c>
      <c r="G50" s="41">
        <f t="shared" si="31"/>
        <v>0</v>
      </c>
      <c r="H50" s="92">
        <f t="shared" si="32"/>
        <v>6562.3600000000006</v>
      </c>
      <c r="I50" s="43">
        <f t="shared" si="33"/>
        <v>6562.3600000000006</v>
      </c>
      <c r="M50" s="59">
        <f t="shared" si="24"/>
        <v>44911</v>
      </c>
      <c r="N50">
        <f t="shared" si="37"/>
        <v>168</v>
      </c>
      <c r="O50" s="38">
        <v>6</v>
      </c>
      <c r="P50" s="40">
        <f t="shared" si="38"/>
        <v>74804</v>
      </c>
      <c r="Q50" s="40">
        <f t="shared" si="34"/>
        <v>6283.48</v>
      </c>
      <c r="R50" s="40">
        <f t="shared" si="39"/>
        <v>6283.48</v>
      </c>
      <c r="S50" s="41">
        <f t="shared" si="40"/>
        <v>0</v>
      </c>
      <c r="T50" s="92">
        <f t="shared" si="41"/>
        <v>5655.16</v>
      </c>
      <c r="U50" s="43">
        <f t="shared" si="42"/>
        <v>5655.16</v>
      </c>
      <c r="Y50" s="59">
        <f t="shared" si="27"/>
        <v>44911</v>
      </c>
      <c r="Z50">
        <f t="shared" si="35"/>
        <v>168</v>
      </c>
      <c r="AA50" s="38">
        <v>6</v>
      </c>
      <c r="AB50" s="40">
        <f t="shared" si="43"/>
        <v>84364</v>
      </c>
      <c r="AC50" s="40">
        <f t="shared" si="36"/>
        <v>7086.52</v>
      </c>
      <c r="AD50" s="40">
        <f t="shared" si="44"/>
        <v>7086.52</v>
      </c>
      <c r="AE50" s="41">
        <f t="shared" si="45"/>
        <v>0</v>
      </c>
      <c r="AF50" s="92">
        <f t="shared" si="46"/>
        <v>6377.84</v>
      </c>
      <c r="AG50" s="45">
        <f t="shared" si="47"/>
        <v>6377.84</v>
      </c>
    </row>
    <row r="51" spans="1:33" x14ac:dyDescent="0.25">
      <c r="A51" s="59">
        <f t="shared" si="25"/>
        <v>44939</v>
      </c>
      <c r="B51">
        <f t="shared" si="28"/>
        <v>196</v>
      </c>
      <c r="C51" s="39">
        <v>7</v>
      </c>
      <c r="D51" s="40">
        <f t="shared" si="29"/>
        <v>86804</v>
      </c>
      <c r="E51" s="40">
        <f t="shared" si="26"/>
        <v>7291.4800000000005</v>
      </c>
      <c r="F51" s="40">
        <f t="shared" si="30"/>
        <v>7291.4800000000005</v>
      </c>
      <c r="G51" s="41">
        <f t="shared" si="31"/>
        <v>0</v>
      </c>
      <c r="H51" s="92">
        <f t="shared" si="32"/>
        <v>6562.3600000000006</v>
      </c>
      <c r="I51" s="43">
        <f t="shared" si="33"/>
        <v>6562.3600000000006</v>
      </c>
      <c r="M51" s="59">
        <f t="shared" si="24"/>
        <v>44939</v>
      </c>
      <c r="N51">
        <f t="shared" si="37"/>
        <v>196</v>
      </c>
      <c r="O51" s="38">
        <v>7</v>
      </c>
      <c r="P51" s="40">
        <f t="shared" si="38"/>
        <v>74804</v>
      </c>
      <c r="Q51" s="40">
        <f t="shared" si="34"/>
        <v>6283.48</v>
      </c>
      <c r="R51" s="40">
        <f t="shared" si="39"/>
        <v>6283.48</v>
      </c>
      <c r="S51" s="41">
        <f t="shared" si="40"/>
        <v>0</v>
      </c>
      <c r="T51" s="92">
        <f t="shared" si="41"/>
        <v>5655.16</v>
      </c>
      <c r="U51" s="43">
        <f t="shared" si="42"/>
        <v>5655.16</v>
      </c>
      <c r="Y51" s="59">
        <f t="shared" si="27"/>
        <v>44939</v>
      </c>
      <c r="Z51">
        <f t="shared" si="35"/>
        <v>196</v>
      </c>
      <c r="AA51" s="38">
        <v>7</v>
      </c>
      <c r="AB51" s="40">
        <f t="shared" si="43"/>
        <v>84364</v>
      </c>
      <c r="AC51" s="40">
        <f t="shared" si="36"/>
        <v>7086.52</v>
      </c>
      <c r="AD51" s="40">
        <f t="shared" si="44"/>
        <v>7086.52</v>
      </c>
      <c r="AE51" s="41">
        <f t="shared" si="45"/>
        <v>0</v>
      </c>
      <c r="AF51" s="92">
        <f t="shared" si="46"/>
        <v>6377.84</v>
      </c>
      <c r="AG51" s="45">
        <f t="shared" si="47"/>
        <v>6377.84</v>
      </c>
    </row>
    <row r="52" spans="1:33" x14ac:dyDescent="0.25">
      <c r="A52" s="59">
        <f t="shared" si="25"/>
        <v>44967</v>
      </c>
      <c r="B52">
        <f t="shared" si="28"/>
        <v>224</v>
      </c>
      <c r="C52" s="39">
        <v>8</v>
      </c>
      <c r="D52" s="40">
        <f t="shared" si="29"/>
        <v>86804</v>
      </c>
      <c r="E52" s="40">
        <f t="shared" si="26"/>
        <v>7291.4800000000005</v>
      </c>
      <c r="F52" s="40">
        <f t="shared" si="30"/>
        <v>7291.4800000000005</v>
      </c>
      <c r="G52" s="41">
        <f t="shared" si="31"/>
        <v>0</v>
      </c>
      <c r="H52" s="92">
        <f t="shared" si="32"/>
        <v>6562.3600000000006</v>
      </c>
      <c r="I52" s="43">
        <f t="shared" si="33"/>
        <v>6562.3600000000006</v>
      </c>
      <c r="M52" s="59">
        <f t="shared" si="24"/>
        <v>44967</v>
      </c>
      <c r="N52">
        <f t="shared" si="37"/>
        <v>224</v>
      </c>
      <c r="O52" s="38">
        <v>8</v>
      </c>
      <c r="P52" s="40">
        <f t="shared" si="38"/>
        <v>74804</v>
      </c>
      <c r="Q52" s="40">
        <f t="shared" si="34"/>
        <v>6283.48</v>
      </c>
      <c r="R52" s="40">
        <f t="shared" si="39"/>
        <v>6283.48</v>
      </c>
      <c r="S52" s="41">
        <f t="shared" si="40"/>
        <v>0</v>
      </c>
      <c r="T52" s="92">
        <f t="shared" si="41"/>
        <v>5655.16</v>
      </c>
      <c r="U52" s="43">
        <f t="shared" si="42"/>
        <v>5655.16</v>
      </c>
      <c r="Y52" s="59">
        <f t="shared" si="27"/>
        <v>44967</v>
      </c>
      <c r="Z52">
        <f t="shared" si="35"/>
        <v>224</v>
      </c>
      <c r="AA52" s="38">
        <v>8</v>
      </c>
      <c r="AB52" s="40">
        <f t="shared" si="43"/>
        <v>84364</v>
      </c>
      <c r="AC52" s="40">
        <f t="shared" si="36"/>
        <v>7086.52</v>
      </c>
      <c r="AD52" s="40">
        <f t="shared" si="44"/>
        <v>7086.52</v>
      </c>
      <c r="AE52" s="41">
        <f t="shared" si="45"/>
        <v>0</v>
      </c>
      <c r="AF52" s="92">
        <f t="shared" si="46"/>
        <v>6377.84</v>
      </c>
      <c r="AG52" s="45">
        <f t="shared" si="47"/>
        <v>6377.84</v>
      </c>
    </row>
    <row r="53" spans="1:33" x14ac:dyDescent="0.25">
      <c r="A53" s="59">
        <f t="shared" si="25"/>
        <v>44995</v>
      </c>
      <c r="B53">
        <f t="shared" si="28"/>
        <v>252</v>
      </c>
      <c r="C53" s="39">
        <v>9</v>
      </c>
      <c r="D53" s="40">
        <f t="shared" si="29"/>
        <v>86804</v>
      </c>
      <c r="E53" s="40">
        <f t="shared" si="26"/>
        <v>7291.4800000000005</v>
      </c>
      <c r="F53" s="40">
        <f t="shared" si="30"/>
        <v>7291.4800000000005</v>
      </c>
      <c r="G53" s="41">
        <f t="shared" si="31"/>
        <v>0</v>
      </c>
      <c r="H53" s="92">
        <f t="shared" si="32"/>
        <v>6562.3600000000006</v>
      </c>
      <c r="I53" s="43">
        <f t="shared" si="33"/>
        <v>6562.3600000000006</v>
      </c>
      <c r="M53" s="59">
        <f t="shared" si="24"/>
        <v>44995</v>
      </c>
      <c r="N53">
        <f t="shared" si="37"/>
        <v>252</v>
      </c>
      <c r="O53" s="38">
        <v>9</v>
      </c>
      <c r="P53" s="40">
        <f t="shared" si="38"/>
        <v>74804</v>
      </c>
      <c r="Q53" s="40">
        <f t="shared" si="34"/>
        <v>6283.48</v>
      </c>
      <c r="R53" s="40">
        <f t="shared" si="39"/>
        <v>6283.48</v>
      </c>
      <c r="S53" s="41">
        <f t="shared" si="40"/>
        <v>0</v>
      </c>
      <c r="T53" s="92">
        <f t="shared" si="41"/>
        <v>5655.16</v>
      </c>
      <c r="U53" s="43">
        <f t="shared" si="42"/>
        <v>5655.16</v>
      </c>
      <c r="Y53" s="59">
        <f t="shared" si="27"/>
        <v>44995</v>
      </c>
      <c r="Z53">
        <f t="shared" si="35"/>
        <v>252</v>
      </c>
      <c r="AA53" s="38">
        <v>9</v>
      </c>
      <c r="AB53" s="40">
        <f t="shared" si="43"/>
        <v>84364</v>
      </c>
      <c r="AC53" s="40">
        <f t="shared" si="36"/>
        <v>7086.52</v>
      </c>
      <c r="AD53" s="40">
        <f t="shared" si="44"/>
        <v>7086.52</v>
      </c>
      <c r="AE53" s="41">
        <f t="shared" si="45"/>
        <v>0</v>
      </c>
      <c r="AF53" s="92">
        <f t="shared" si="46"/>
        <v>6377.84</v>
      </c>
      <c r="AG53" s="45">
        <f t="shared" si="47"/>
        <v>6377.84</v>
      </c>
    </row>
    <row r="54" spans="1:33" x14ac:dyDescent="0.25">
      <c r="A54" s="59">
        <f t="shared" si="25"/>
        <v>45023</v>
      </c>
      <c r="B54">
        <f t="shared" si="28"/>
        <v>280</v>
      </c>
      <c r="C54" s="39">
        <v>10</v>
      </c>
      <c r="D54" s="40">
        <f t="shared" si="29"/>
        <v>86804</v>
      </c>
      <c r="E54" s="40">
        <f t="shared" si="26"/>
        <v>7291.4800000000005</v>
      </c>
      <c r="F54" s="40">
        <f t="shared" si="30"/>
        <v>7291.4800000000005</v>
      </c>
      <c r="G54" s="41">
        <f t="shared" si="31"/>
        <v>0</v>
      </c>
      <c r="H54" s="92">
        <f t="shared" si="32"/>
        <v>6562.3600000000006</v>
      </c>
      <c r="I54" s="43">
        <f t="shared" si="33"/>
        <v>6562.3600000000006</v>
      </c>
      <c r="M54" s="59">
        <f t="shared" si="24"/>
        <v>45023</v>
      </c>
      <c r="N54">
        <f t="shared" si="37"/>
        <v>280</v>
      </c>
      <c r="O54" s="38">
        <v>10</v>
      </c>
      <c r="P54" s="40">
        <f t="shared" si="38"/>
        <v>74804</v>
      </c>
      <c r="Q54" s="40">
        <f t="shared" si="34"/>
        <v>6283.48</v>
      </c>
      <c r="R54" s="40">
        <f t="shared" si="39"/>
        <v>6283.48</v>
      </c>
      <c r="S54" s="41">
        <f t="shared" si="40"/>
        <v>0</v>
      </c>
      <c r="T54" s="92">
        <f t="shared" si="41"/>
        <v>5655.16</v>
      </c>
      <c r="U54" s="43">
        <f t="shared" si="42"/>
        <v>5655.16</v>
      </c>
      <c r="Y54" s="59">
        <f t="shared" si="27"/>
        <v>45023</v>
      </c>
      <c r="Z54">
        <f t="shared" si="35"/>
        <v>280</v>
      </c>
      <c r="AA54" s="38">
        <v>10</v>
      </c>
      <c r="AB54" s="40">
        <f t="shared" si="43"/>
        <v>84364</v>
      </c>
      <c r="AC54" s="40">
        <f t="shared" si="36"/>
        <v>7086.52</v>
      </c>
      <c r="AD54" s="40">
        <f t="shared" si="44"/>
        <v>7086.52</v>
      </c>
      <c r="AE54" s="41">
        <f t="shared" si="45"/>
        <v>0</v>
      </c>
      <c r="AF54" s="92">
        <f t="shared" si="46"/>
        <v>6377.84</v>
      </c>
      <c r="AG54" s="45">
        <f t="shared" si="47"/>
        <v>6377.84</v>
      </c>
    </row>
    <row r="55" spans="1:33" x14ac:dyDescent="0.25">
      <c r="A55" s="59">
        <f t="shared" si="25"/>
        <v>45051</v>
      </c>
      <c r="B55">
        <f t="shared" si="28"/>
        <v>308</v>
      </c>
      <c r="C55" s="39">
        <v>11</v>
      </c>
      <c r="D55" s="40">
        <f t="shared" si="29"/>
        <v>86804</v>
      </c>
      <c r="E55" s="40">
        <f t="shared" si="26"/>
        <v>7291.4800000000005</v>
      </c>
      <c r="F55" s="40">
        <f t="shared" si="30"/>
        <v>7291.4800000000005</v>
      </c>
      <c r="G55" s="41">
        <f t="shared" si="31"/>
        <v>0</v>
      </c>
      <c r="H55" s="92">
        <f t="shared" si="32"/>
        <v>6562.3600000000006</v>
      </c>
      <c r="I55" s="43">
        <f t="shared" si="33"/>
        <v>6562.3600000000006</v>
      </c>
      <c r="M55" s="59">
        <f t="shared" si="24"/>
        <v>45051</v>
      </c>
      <c r="N55">
        <f t="shared" si="37"/>
        <v>308</v>
      </c>
      <c r="O55" s="38">
        <v>11</v>
      </c>
      <c r="P55" s="40">
        <f t="shared" si="38"/>
        <v>74804</v>
      </c>
      <c r="Q55" s="40">
        <f t="shared" si="34"/>
        <v>6283.48</v>
      </c>
      <c r="R55" s="40">
        <f t="shared" si="39"/>
        <v>6283.48</v>
      </c>
      <c r="S55" s="41">
        <f t="shared" si="40"/>
        <v>0</v>
      </c>
      <c r="T55" s="92">
        <f t="shared" si="41"/>
        <v>5655.16</v>
      </c>
      <c r="U55" s="43">
        <f t="shared" si="42"/>
        <v>5655.16</v>
      </c>
      <c r="Y55" s="59">
        <f t="shared" si="27"/>
        <v>45051</v>
      </c>
      <c r="Z55">
        <f t="shared" si="35"/>
        <v>308</v>
      </c>
      <c r="AA55" s="38">
        <v>11</v>
      </c>
      <c r="AB55" s="40">
        <f t="shared" si="43"/>
        <v>84364</v>
      </c>
      <c r="AC55" s="40">
        <f t="shared" si="36"/>
        <v>7086.52</v>
      </c>
      <c r="AD55" s="40">
        <f t="shared" si="44"/>
        <v>7086.52</v>
      </c>
      <c r="AE55" s="41">
        <f t="shared" si="45"/>
        <v>0</v>
      </c>
      <c r="AF55" s="92">
        <f t="shared" si="46"/>
        <v>6377.84</v>
      </c>
      <c r="AG55" s="45">
        <f t="shared" si="47"/>
        <v>6377.84</v>
      </c>
    </row>
    <row r="56" spans="1:33" x14ac:dyDescent="0.25">
      <c r="A56" s="59">
        <f t="shared" si="25"/>
        <v>45079</v>
      </c>
      <c r="B56">
        <f t="shared" si="28"/>
        <v>336</v>
      </c>
      <c r="C56" s="39">
        <v>12</v>
      </c>
      <c r="D56" s="40">
        <f t="shared" si="29"/>
        <v>86804</v>
      </c>
      <c r="E56" s="40">
        <f t="shared" si="26"/>
        <v>7291.4800000000005</v>
      </c>
      <c r="F56" s="40">
        <f t="shared" si="30"/>
        <v>7291.4800000000005</v>
      </c>
      <c r="G56" s="41">
        <f t="shared" si="31"/>
        <v>0</v>
      </c>
      <c r="H56" s="92">
        <f t="shared" si="32"/>
        <v>6562.3600000000006</v>
      </c>
      <c r="I56" s="43">
        <f t="shared" si="33"/>
        <v>6562.3600000000006</v>
      </c>
      <c r="M56" s="59">
        <f t="shared" si="24"/>
        <v>45079</v>
      </c>
      <c r="N56">
        <f t="shared" si="37"/>
        <v>336</v>
      </c>
      <c r="O56" s="38">
        <v>12</v>
      </c>
      <c r="P56" s="40">
        <f t="shared" si="38"/>
        <v>74804</v>
      </c>
      <c r="Q56" s="40">
        <f t="shared" si="34"/>
        <v>6283.48</v>
      </c>
      <c r="R56" s="40">
        <f>ROUND(P56*$D$4,2)*$D$6</f>
        <v>6283.48</v>
      </c>
      <c r="S56" s="41">
        <f t="shared" si="40"/>
        <v>0</v>
      </c>
      <c r="T56" s="92">
        <f t="shared" si="41"/>
        <v>5655.16</v>
      </c>
      <c r="U56" s="43">
        <f>S56+T56</f>
        <v>5655.16</v>
      </c>
      <c r="Y56" s="59">
        <f t="shared" si="27"/>
        <v>45079</v>
      </c>
      <c r="Z56">
        <f>Z55+$D$6</f>
        <v>336</v>
      </c>
      <c r="AA56" s="38">
        <v>12</v>
      </c>
      <c r="AB56" s="40">
        <f xml:space="preserve"> $AB$47</f>
        <v>84364</v>
      </c>
      <c r="AC56" s="40">
        <f t="shared" si="36"/>
        <v>7086.52</v>
      </c>
      <c r="AD56" s="40">
        <f>ROUND(AB56*$D$4,2)*$D$6</f>
        <v>7086.52</v>
      </c>
      <c r="AE56" s="41">
        <f t="shared" si="45"/>
        <v>0</v>
      </c>
      <c r="AF56" s="92">
        <f>ROUND(AB56*$E$4,2)*(Z56-Z55)</f>
        <v>6377.84</v>
      </c>
      <c r="AG56" s="45">
        <f t="shared" si="47"/>
        <v>6377.84</v>
      </c>
    </row>
    <row r="57" spans="1:33" x14ac:dyDescent="0.25">
      <c r="A57" s="59">
        <f t="shared" si="25"/>
        <v>45107</v>
      </c>
      <c r="B57">
        <f>$L$29</f>
        <v>364</v>
      </c>
      <c r="C57" s="39">
        <v>13</v>
      </c>
      <c r="D57" s="40">
        <f>D56-G56</f>
        <v>86804</v>
      </c>
      <c r="E57" s="40">
        <f>$D$44-SUM(G44:G56)+F57</f>
        <v>94095.48</v>
      </c>
      <c r="F57" s="40">
        <f>ROUND(D57*$D$4,2)*(B57-B56)</f>
        <v>7291.4800000000005</v>
      </c>
      <c r="G57" s="41">
        <f>D57</f>
        <v>86804</v>
      </c>
      <c r="H57" s="92">
        <f>ROUND(D57*$E$4,2)*(B57-B56)</f>
        <v>6562.3600000000006</v>
      </c>
      <c r="I57" s="43">
        <f>G57+H57</f>
        <v>93366.36</v>
      </c>
      <c r="M57" s="59">
        <f>M56+N57-N56</f>
        <v>45107</v>
      </c>
      <c r="N57">
        <f>$L$29</f>
        <v>364</v>
      </c>
      <c r="O57" s="38">
        <v>13</v>
      </c>
      <c r="P57" s="40">
        <f>P56-S56</f>
        <v>74804</v>
      </c>
      <c r="Q57" s="40">
        <f>$D$3-SUM(S44:S56)+R57</f>
        <v>81087.48</v>
      </c>
      <c r="R57" s="40">
        <f>ROUND(P57*$D$4,2)*$D$6</f>
        <v>6283.48</v>
      </c>
      <c r="S57" s="41">
        <f>P57</f>
        <v>74804</v>
      </c>
      <c r="T57" s="92">
        <f>ROUND(P57*$E$4,2)*(N57-N56)</f>
        <v>5655.16</v>
      </c>
      <c r="U57" s="43">
        <f>S57+T57</f>
        <v>80459.16</v>
      </c>
      <c r="Y57" s="59">
        <f t="shared" si="27"/>
        <v>45107</v>
      </c>
      <c r="Z57">
        <f>$L$29</f>
        <v>364</v>
      </c>
      <c r="AA57" s="38">
        <v>13</v>
      </c>
      <c r="AB57" s="40">
        <f>AB56-AE56</f>
        <v>84364</v>
      </c>
      <c r="AC57" s="40">
        <f>$D$3-SUM(AE44:AE56)+AD57</f>
        <v>91450.52</v>
      </c>
      <c r="AD57" s="40">
        <f>ROUND(AB57*$D$4,2)*$D$6</f>
        <v>7086.52</v>
      </c>
      <c r="AE57" s="41">
        <f>AB57</f>
        <v>84364</v>
      </c>
      <c r="AF57" s="92">
        <f>ROUND(AB57*$E$4,2)*(Z57-Z56)</f>
        <v>6377.84</v>
      </c>
      <c r="AG57" s="45">
        <f t="shared" si="47"/>
        <v>90741.84</v>
      </c>
    </row>
    <row r="58" spans="1:33" ht="15.75" thickBot="1" x14ac:dyDescent="0.3">
      <c r="C58" s="143" t="s">
        <v>20</v>
      </c>
      <c r="D58" s="144"/>
      <c r="E58" s="93">
        <f>SUM(E43:E57)</f>
        <v>181861.76000000001</v>
      </c>
      <c r="F58" s="93">
        <f>SUM(F43:F57)</f>
        <v>95057.76</v>
      </c>
      <c r="G58" s="47">
        <f>SUM(G44:G57)</f>
        <v>90000</v>
      </c>
      <c r="H58" s="48">
        <f>SUM(H44:H57)</f>
        <v>85552.320000000007</v>
      </c>
      <c r="I58" s="49">
        <f>SUM(I44:I57)</f>
        <v>172356.32</v>
      </c>
      <c r="O58" s="136" t="s">
        <v>20</v>
      </c>
      <c r="P58" s="137"/>
      <c r="Q58" s="46">
        <f>SUM(Q43:Q57)</f>
        <v>159042.27999999997</v>
      </c>
      <c r="R58" s="46">
        <f>SUM(R43:R57)</f>
        <v>84238.27999999997</v>
      </c>
      <c r="S58" s="47">
        <f>SUM(S44:S57)</f>
        <v>90000</v>
      </c>
      <c r="T58" s="48">
        <f>SUM(T44:T57)</f>
        <v>75814.760000000024</v>
      </c>
      <c r="U58" s="49">
        <f>SUM(U44:U57)</f>
        <v>150618.76</v>
      </c>
      <c r="AA58" s="136" t="s">
        <v>20</v>
      </c>
      <c r="AB58" s="137"/>
      <c r="AC58" s="46">
        <f>SUM(AC43:AC57)</f>
        <v>177435.72000000003</v>
      </c>
      <c r="AD58" s="46">
        <f>SUM(AD43:AD57)</f>
        <v>93071.72000000003</v>
      </c>
      <c r="AE58" s="47">
        <f>SUM(AE44:AE57)</f>
        <v>90000</v>
      </c>
      <c r="AF58" s="48">
        <f>SUM(AF45:AF57)</f>
        <v>76960.239999999976</v>
      </c>
      <c r="AG58" s="49">
        <f>SUM(AG44:AG57)</f>
        <v>168128.24</v>
      </c>
    </row>
    <row r="59" spans="1:33" x14ac:dyDescent="0.25">
      <c r="A59">
        <f>A44-A43</f>
        <v>28</v>
      </c>
      <c r="E59" s="28">
        <f>(F58+G58)/G58</f>
        <v>2.0561973333333334</v>
      </c>
      <c r="F59" s="68">
        <f>F30-F58</f>
        <v>3222.2400000000052</v>
      </c>
      <c r="I59" s="29">
        <f>I58/G58</f>
        <v>1.9150702222222222</v>
      </c>
      <c r="Q59" s="28">
        <f>(R58+S58)/S58</f>
        <v>1.9359808888888885</v>
      </c>
      <c r="R59" s="68">
        <f>P30-R58</f>
        <v>14041.72000000003</v>
      </c>
      <c r="U59" s="29">
        <f>U58/S58</f>
        <v>1.6735417777777779</v>
      </c>
      <c r="AC59" s="28">
        <f>(AD58+AE58)/AE58</f>
        <v>2.0341302222222226</v>
      </c>
      <c r="AD59" s="68">
        <f>AA30-AD58</f>
        <v>5208.2799999999697</v>
      </c>
      <c r="AG59" s="29">
        <f>AG58/AE58</f>
        <v>1.8680915555555555</v>
      </c>
    </row>
    <row r="60" spans="1:33" x14ac:dyDescent="0.25">
      <c r="A60">
        <f>A45-A44</f>
        <v>0</v>
      </c>
    </row>
    <row r="61" spans="1:33" x14ac:dyDescent="0.25">
      <c r="A61">
        <f t="shared" ref="A61" si="48">A46-A45</f>
        <v>28</v>
      </c>
      <c r="B61">
        <f>28-B46</f>
        <v>-28</v>
      </c>
      <c r="C61">
        <f>B57-B56</f>
        <v>28</v>
      </c>
    </row>
    <row r="62" spans="1:33" x14ac:dyDescent="0.25">
      <c r="A62">
        <f>A47-A46</f>
        <v>28</v>
      </c>
    </row>
    <row r="63" spans="1:33" x14ac:dyDescent="0.25">
      <c r="A63">
        <f t="shared" ref="A63:A72" si="49">A48-A47</f>
        <v>28</v>
      </c>
    </row>
    <row r="64" spans="1:33" x14ac:dyDescent="0.25">
      <c r="A64">
        <f t="shared" si="49"/>
        <v>28</v>
      </c>
    </row>
    <row r="65" spans="1:8" x14ac:dyDescent="0.25">
      <c r="A65">
        <f t="shared" si="49"/>
        <v>28</v>
      </c>
      <c r="G65" s="70"/>
      <c r="H65" s="70"/>
    </row>
    <row r="66" spans="1:8" x14ac:dyDescent="0.25">
      <c r="A66">
        <f t="shared" si="49"/>
        <v>28</v>
      </c>
    </row>
    <row r="67" spans="1:8" x14ac:dyDescent="0.25">
      <c r="A67">
        <f t="shared" si="49"/>
        <v>28</v>
      </c>
    </row>
    <row r="68" spans="1:8" x14ac:dyDescent="0.25">
      <c r="A68">
        <f t="shared" si="49"/>
        <v>28</v>
      </c>
    </row>
    <row r="69" spans="1:8" x14ac:dyDescent="0.25">
      <c r="A69">
        <f t="shared" si="49"/>
        <v>28</v>
      </c>
    </row>
    <row r="70" spans="1:8" x14ac:dyDescent="0.25">
      <c r="A70">
        <f t="shared" si="49"/>
        <v>28</v>
      </c>
    </row>
    <row r="71" spans="1:8" x14ac:dyDescent="0.25">
      <c r="A71">
        <f t="shared" si="49"/>
        <v>28</v>
      </c>
    </row>
    <row r="72" spans="1:8" x14ac:dyDescent="0.25">
      <c r="A72">
        <f t="shared" si="49"/>
        <v>28</v>
      </c>
    </row>
  </sheetData>
  <mergeCells count="7">
    <mergeCell ref="AA58:AB58"/>
    <mergeCell ref="C58:D58"/>
    <mergeCell ref="O58:P58"/>
    <mergeCell ref="C30:D30"/>
    <mergeCell ref="M30:N30"/>
    <mergeCell ref="X30:Y30"/>
    <mergeCell ref="E41:I4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B1B7-5200-4FE2-8046-51E903147EDD}">
  <sheetPr>
    <tabColor theme="9" tint="0.39997558519241921"/>
  </sheetPr>
  <dimension ref="A1:AI53"/>
  <sheetViews>
    <sheetView topLeftCell="K34" zoomScale="70" zoomScaleNormal="70" workbookViewId="0">
      <selection activeCell="AC40" sqref="AC40"/>
    </sheetView>
  </sheetViews>
  <sheetFormatPr defaultRowHeight="15" x14ac:dyDescent="0.25"/>
  <cols>
    <col min="1" max="1" width="12" customWidth="1"/>
    <col min="2" max="2" width="19.140625" customWidth="1"/>
    <col min="3" max="3" width="10.42578125" bestFit="1" customWidth="1"/>
    <col min="4" max="5" width="12.42578125" customWidth="1"/>
    <col min="6" max="6" width="13.28515625" customWidth="1"/>
    <col min="7" max="7" width="12.42578125" customWidth="1"/>
    <col min="8" max="8" width="14.5703125" customWidth="1"/>
    <col min="9" max="9" width="11.85546875" customWidth="1"/>
    <col min="10" max="10" width="3.140625" customWidth="1"/>
    <col min="11" max="11" width="9.140625" customWidth="1"/>
    <col min="12" max="12" width="3.7109375" customWidth="1"/>
    <col min="13" max="13" width="11.42578125" customWidth="1"/>
    <col min="14" max="14" width="15.42578125" customWidth="1"/>
    <col min="15" max="15" width="11.140625" customWidth="1"/>
    <col min="16" max="16" width="12.28515625" customWidth="1"/>
    <col min="17" max="17" width="12.7109375" customWidth="1"/>
    <col min="18" max="18" width="13.140625" customWidth="1"/>
    <col min="19" max="19" width="11" bestFit="1" customWidth="1"/>
    <col min="20" max="20" width="15.28515625" customWidth="1"/>
    <col min="21" max="21" width="14.85546875" customWidth="1"/>
    <col min="22" max="22" width="4" customWidth="1"/>
    <col min="24" max="24" width="4.28515625" customWidth="1"/>
    <col min="25" max="25" width="11.5703125" customWidth="1"/>
    <col min="26" max="26" width="11.5703125" bestFit="1" customWidth="1"/>
    <col min="27" max="27" width="12.85546875" customWidth="1"/>
    <col min="28" max="28" width="12.5703125" customWidth="1"/>
    <col min="29" max="29" width="13.5703125" customWidth="1"/>
    <col min="30" max="30" width="13.42578125" customWidth="1"/>
    <col min="31" max="31" width="10.7109375" customWidth="1"/>
    <col min="32" max="32" width="10.85546875" customWidth="1"/>
    <col min="33" max="33" width="12.85546875" customWidth="1"/>
  </cols>
  <sheetData>
    <row r="1" spans="1:33" x14ac:dyDescent="0.25">
      <c r="H1" s="60"/>
      <c r="I1" s="60"/>
      <c r="J1" s="60"/>
      <c r="K1" s="60"/>
      <c r="L1" s="60"/>
      <c r="M1" s="60"/>
      <c r="N1" s="60"/>
    </row>
    <row r="2" spans="1:33" x14ac:dyDescent="0.25">
      <c r="B2" s="8" t="s">
        <v>0</v>
      </c>
      <c r="H2" s="60"/>
      <c r="I2" s="60"/>
      <c r="J2" s="60"/>
      <c r="K2" s="60"/>
      <c r="L2" s="60"/>
      <c r="M2" s="60"/>
      <c r="N2" s="60"/>
    </row>
    <row r="3" spans="1:33" x14ac:dyDescent="0.25">
      <c r="B3" t="s">
        <v>1</v>
      </c>
      <c r="D3" s="2">
        <v>90000</v>
      </c>
      <c r="H3" s="60"/>
      <c r="I3" s="84"/>
      <c r="J3" s="60"/>
      <c r="K3" s="60"/>
      <c r="L3" s="60"/>
      <c r="M3" s="60"/>
      <c r="N3" s="60"/>
    </row>
    <row r="4" spans="1:33" ht="44.25" customHeight="1" x14ac:dyDescent="0.25">
      <c r="B4" s="23" t="s">
        <v>83</v>
      </c>
      <c r="D4" s="91">
        <v>3.0000000000000001E-3</v>
      </c>
      <c r="E4" s="91">
        <v>2.7000000000000001E-3</v>
      </c>
      <c r="F4" s="123">
        <f>D4-((D4*C13))</f>
        <v>-2.7E-2</v>
      </c>
      <c r="H4" s="60"/>
      <c r="I4" s="85"/>
      <c r="J4" s="60"/>
      <c r="K4" s="60"/>
      <c r="L4" s="60"/>
      <c r="M4" s="60"/>
      <c r="N4" s="60"/>
    </row>
    <row r="5" spans="1:33" x14ac:dyDescent="0.25">
      <c r="B5" t="s">
        <v>3</v>
      </c>
      <c r="D5">
        <v>13</v>
      </c>
      <c r="H5" s="60"/>
      <c r="I5" s="85"/>
      <c r="J5" s="60"/>
      <c r="K5" s="60"/>
      <c r="L5" s="60"/>
      <c r="M5" s="18"/>
      <c r="N5" s="18"/>
      <c r="O5" s="18"/>
    </row>
    <row r="6" spans="1:33" x14ac:dyDescent="0.25">
      <c r="B6" t="s">
        <v>4</v>
      </c>
      <c r="D6">
        <v>28</v>
      </c>
      <c r="E6">
        <f>D6*D5</f>
        <v>364</v>
      </c>
      <c r="F6">
        <f>((D4*C13))</f>
        <v>0.03</v>
      </c>
      <c r="H6" s="60"/>
      <c r="I6" s="60"/>
      <c r="J6" s="60"/>
      <c r="K6" s="60"/>
      <c r="L6" s="60"/>
      <c r="M6" s="86"/>
      <c r="N6" s="60"/>
      <c r="O6" s="3"/>
    </row>
    <row r="9" spans="1:33" x14ac:dyDescent="0.25">
      <c r="B9" t="s">
        <v>5</v>
      </c>
    </row>
    <row r="11" spans="1:33" x14ac:dyDescent="0.25">
      <c r="B11" s="5" t="s">
        <v>103</v>
      </c>
      <c r="C11" s="40">
        <f>(D3*D4)*1</f>
        <v>270</v>
      </c>
      <c r="D11" s="4"/>
      <c r="E11" s="4"/>
      <c r="F11" s="3"/>
    </row>
    <row r="12" spans="1:33" x14ac:dyDescent="0.25">
      <c r="B12" t="s">
        <v>102</v>
      </c>
      <c r="C12" s="50">
        <f>$F$17</f>
        <v>7560</v>
      </c>
    </row>
    <row r="13" spans="1:33" x14ac:dyDescent="0.25">
      <c r="B13" t="s">
        <v>9</v>
      </c>
      <c r="C13">
        <v>10</v>
      </c>
      <c r="D13" s="62"/>
    </row>
    <row r="14" spans="1:33" ht="16.5" thickBot="1" x14ac:dyDescent="0.3">
      <c r="D14" s="1" t="s">
        <v>78</v>
      </c>
      <c r="E14" s="8"/>
      <c r="F14" s="8"/>
      <c r="P14" s="1" t="s">
        <v>78</v>
      </c>
      <c r="Q14" s="8"/>
      <c r="R14" s="8"/>
      <c r="AB14" s="1" t="s">
        <v>78</v>
      </c>
      <c r="AC14" s="8"/>
      <c r="AD14" s="8"/>
    </row>
    <row r="15" spans="1:33" ht="45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M15" t="s">
        <v>77</v>
      </c>
      <c r="N15" t="s">
        <v>76</v>
      </c>
      <c r="O15" s="9" t="s">
        <v>15</v>
      </c>
      <c r="P15" s="10" t="s">
        <v>16</v>
      </c>
      <c r="Q15" s="10" t="s">
        <v>17</v>
      </c>
      <c r="R15" s="10" t="s">
        <v>18</v>
      </c>
      <c r="S15" s="11" t="s">
        <v>19</v>
      </c>
      <c r="T15" s="24" t="s">
        <v>41</v>
      </c>
      <c r="U15" s="25" t="s">
        <v>42</v>
      </c>
      <c r="Y15" t="s">
        <v>77</v>
      </c>
      <c r="Z15" t="s">
        <v>76</v>
      </c>
      <c r="AA15" s="9" t="s">
        <v>15</v>
      </c>
      <c r="AB15" s="10" t="s">
        <v>16</v>
      </c>
      <c r="AC15" s="10" t="s">
        <v>17</v>
      </c>
      <c r="AD15" s="10" t="s">
        <v>18</v>
      </c>
      <c r="AE15" s="11" t="s">
        <v>19</v>
      </c>
      <c r="AF15" s="24" t="s">
        <v>41</v>
      </c>
      <c r="AG15" s="25" t="s">
        <v>42</v>
      </c>
    </row>
    <row r="16" spans="1:33" x14ac:dyDescent="0.25">
      <c r="A16" s="59">
        <v>44743</v>
      </c>
      <c r="B16">
        <v>0</v>
      </c>
      <c r="C16" s="39">
        <v>0</v>
      </c>
      <c r="E16" s="40"/>
      <c r="F16" s="40"/>
      <c r="G16" s="41"/>
      <c r="H16" s="42"/>
      <c r="I16" s="43"/>
      <c r="M16" s="59">
        <v>44743</v>
      </c>
      <c r="N16">
        <v>0</v>
      </c>
      <c r="O16" s="39">
        <v>0</v>
      </c>
      <c r="Q16" s="40"/>
      <c r="R16" s="40"/>
      <c r="S16" s="41"/>
      <c r="T16" s="42"/>
      <c r="U16" s="43"/>
      <c r="Y16" s="59">
        <v>44743</v>
      </c>
      <c r="Z16">
        <v>0</v>
      </c>
      <c r="AA16" s="39">
        <v>0</v>
      </c>
      <c r="AC16" s="40"/>
      <c r="AD16" s="40"/>
      <c r="AE16" s="41"/>
      <c r="AF16" s="42"/>
      <c r="AG16" s="43"/>
    </row>
    <row r="17" spans="1:33" x14ac:dyDescent="0.25">
      <c r="A17" s="59">
        <f>A16+B17-B16</f>
        <v>44771</v>
      </c>
      <c r="B17">
        <f>B16+$D$6</f>
        <v>28</v>
      </c>
      <c r="C17" s="39">
        <v>1</v>
      </c>
      <c r="D17" s="40">
        <f>$D$3</f>
        <v>90000</v>
      </c>
      <c r="E17" s="40">
        <f>$F$17</f>
        <v>7560</v>
      </c>
      <c r="F17" s="40">
        <f>ROUND(D17*$D$4,2)*$D$6</f>
        <v>7560</v>
      </c>
      <c r="G17" s="41">
        <f>E17-F17</f>
        <v>0</v>
      </c>
      <c r="H17" s="92">
        <f>ROUND(D17*$E$4,2)*$D$6</f>
        <v>6804</v>
      </c>
      <c r="I17" s="45">
        <f>G17+H17</f>
        <v>6804</v>
      </c>
      <c r="M17" s="59">
        <f>M16+N17-N16</f>
        <v>44771</v>
      </c>
      <c r="N17">
        <f>N16+$D$6</f>
        <v>28</v>
      </c>
      <c r="O17" s="39">
        <v>1</v>
      </c>
      <c r="P17" s="40">
        <f>$D$3</f>
        <v>90000</v>
      </c>
      <c r="Q17" s="40">
        <f>$F$17</f>
        <v>7560</v>
      </c>
      <c r="R17" s="40">
        <f>ROUND(P17*$D$4,2)*$D$6</f>
        <v>7560</v>
      </c>
      <c r="S17" s="41">
        <f>Q17-R17</f>
        <v>0</v>
      </c>
      <c r="T17" s="92">
        <f>ROUND(P17*$E$4,2)*$D$6</f>
        <v>6804</v>
      </c>
      <c r="U17" s="45">
        <f>S17+T17</f>
        <v>6804</v>
      </c>
      <c r="Y17" s="59">
        <f>Y16+Z17-Z16</f>
        <v>44771</v>
      </c>
      <c r="Z17">
        <f>Z16+$D$6</f>
        <v>28</v>
      </c>
      <c r="AA17" s="39">
        <v>1</v>
      </c>
      <c r="AB17" s="40">
        <f>$D$3</f>
        <v>90000</v>
      </c>
      <c r="AC17" s="40">
        <f>$F$17</f>
        <v>7560</v>
      </c>
      <c r="AD17" s="40">
        <f>ROUND(AB17*$D$4,2)*$D$6</f>
        <v>7560</v>
      </c>
      <c r="AE17" s="41">
        <f>AC17-AD17</f>
        <v>0</v>
      </c>
      <c r="AF17" s="92">
        <f>ROUND(AB17*$E$4,2)*$D$6</f>
        <v>6804</v>
      </c>
      <c r="AG17" s="45">
        <f>AE17+AF17</f>
        <v>6804</v>
      </c>
    </row>
    <row r="18" spans="1:33" x14ac:dyDescent="0.25">
      <c r="A18" s="59">
        <f t="shared" ref="A18:A29" si="0">A17+B18-B17</f>
        <v>44799</v>
      </c>
      <c r="B18">
        <f t="shared" ref="B18:B29" si="1">B17+$D$6</f>
        <v>56</v>
      </c>
      <c r="C18" s="39">
        <v>2</v>
      </c>
      <c r="D18" s="40">
        <f>D17-G17</f>
        <v>90000</v>
      </c>
      <c r="E18" s="40">
        <f t="shared" ref="E18:E28" si="2">$F$17</f>
        <v>7560</v>
      </c>
      <c r="F18" s="40">
        <f>ROUND(D18*$D$4,2)*$D$6</f>
        <v>7560</v>
      </c>
      <c r="G18" s="41">
        <f>E18-F18</f>
        <v>0</v>
      </c>
      <c r="H18" s="92">
        <f>ROUND(D18*$E$4,2)*$D$6</f>
        <v>6804</v>
      </c>
      <c r="I18" s="45">
        <f>G18+H18</f>
        <v>6804</v>
      </c>
      <c r="M18" s="59">
        <f t="shared" ref="M18:M28" si="3">M17+N18-N17</f>
        <v>44799</v>
      </c>
      <c r="N18">
        <f>N17+$D$6</f>
        <v>56</v>
      </c>
      <c r="O18" s="39">
        <v>2</v>
      </c>
      <c r="P18" s="40">
        <f>P17-S17</f>
        <v>90000</v>
      </c>
      <c r="Q18" s="40">
        <f t="shared" ref="Q18:Q28" si="4">$F$17</f>
        <v>7560</v>
      </c>
      <c r="R18" s="40">
        <f>ROUND(P18*$D$4,2)*$D$6</f>
        <v>7560</v>
      </c>
      <c r="S18" s="41">
        <f>Q18-R18</f>
        <v>0</v>
      </c>
      <c r="T18" s="92">
        <f>ROUND(P18*$E$4,2)*$D$6</f>
        <v>6804</v>
      </c>
      <c r="U18" s="45">
        <f>S18+T18</f>
        <v>6804</v>
      </c>
      <c r="Y18" s="59">
        <f t="shared" ref="Y18:Y29" si="5">Y17+Z18-Z17</f>
        <v>44799</v>
      </c>
      <c r="Z18">
        <f>Z17+$D$6</f>
        <v>56</v>
      </c>
      <c r="AA18" s="39">
        <v>2</v>
      </c>
      <c r="AB18" s="40">
        <f>AB17-AE17</f>
        <v>90000</v>
      </c>
      <c r="AC18" s="40">
        <f t="shared" ref="AC18:AC28" si="6">$F$17</f>
        <v>7560</v>
      </c>
      <c r="AD18" s="40">
        <f>ROUND(AB18*$D$4,2)*$D$6</f>
        <v>7560</v>
      </c>
      <c r="AE18" s="41">
        <f>AC18-AD18</f>
        <v>0</v>
      </c>
      <c r="AF18" s="92">
        <f>ROUND(AB18*$E$4,2)*$D$6</f>
        <v>6804</v>
      </c>
      <c r="AG18" s="45">
        <f>AE18+AF18</f>
        <v>6804</v>
      </c>
    </row>
    <row r="19" spans="1:33" x14ac:dyDescent="0.25">
      <c r="A19" s="59">
        <f t="shared" si="0"/>
        <v>44827</v>
      </c>
      <c r="B19">
        <f t="shared" si="1"/>
        <v>84</v>
      </c>
      <c r="C19" s="39">
        <v>3</v>
      </c>
      <c r="D19" s="40">
        <f>D18-G18</f>
        <v>90000</v>
      </c>
      <c r="E19" s="40">
        <f t="shared" si="2"/>
        <v>7560</v>
      </c>
      <c r="F19" s="40">
        <f>ROUND(D19*$D$4,2)*$D$6</f>
        <v>7560</v>
      </c>
      <c r="G19" s="41">
        <f>E19-F19</f>
        <v>0</v>
      </c>
      <c r="H19" s="92">
        <f>ROUND(D19*$E$4,2)*$D$6</f>
        <v>6804</v>
      </c>
      <c r="I19" s="45">
        <f>G19+H19</f>
        <v>6804</v>
      </c>
      <c r="M19" s="59">
        <f t="shared" si="3"/>
        <v>44827</v>
      </c>
      <c r="N19">
        <f>N18+$D$6</f>
        <v>84</v>
      </c>
      <c r="O19" s="39">
        <v>3</v>
      </c>
      <c r="P19" s="40">
        <f>P18-S18</f>
        <v>90000</v>
      </c>
      <c r="Q19" s="40">
        <f t="shared" si="4"/>
        <v>7560</v>
      </c>
      <c r="R19" s="40">
        <f>ROUND(P19*$D$4,2)*$D$6</f>
        <v>7560</v>
      </c>
      <c r="S19" s="41">
        <f>Q19-R19</f>
        <v>0</v>
      </c>
      <c r="T19" s="92">
        <f>ROUND(P19*$E$4,2)*$D$6</f>
        <v>6804</v>
      </c>
      <c r="U19" s="45">
        <f>S19+T19</f>
        <v>6804</v>
      </c>
      <c r="Y19" s="59">
        <f t="shared" si="5"/>
        <v>44827</v>
      </c>
      <c r="Z19">
        <f>Z18+$D$6</f>
        <v>84</v>
      </c>
      <c r="AA19" s="39">
        <v>3</v>
      </c>
      <c r="AB19" s="40">
        <f>AB18-AE18</f>
        <v>90000</v>
      </c>
      <c r="AC19" s="40">
        <f t="shared" si="6"/>
        <v>7560</v>
      </c>
      <c r="AD19" s="40">
        <f>ROUND(AB19*$D$4,2)*$D$6</f>
        <v>7560</v>
      </c>
      <c r="AE19" s="41">
        <f>AC19-AD19</f>
        <v>0</v>
      </c>
      <c r="AF19" s="92">
        <f>ROUND(AB19*$E$4,2)*$D$6</f>
        <v>6804</v>
      </c>
      <c r="AG19" s="45">
        <f>AE19+AF19</f>
        <v>6804</v>
      </c>
    </row>
    <row r="20" spans="1:33" x14ac:dyDescent="0.25">
      <c r="A20" s="59">
        <f t="shared" si="0"/>
        <v>44855</v>
      </c>
      <c r="B20">
        <f t="shared" si="1"/>
        <v>112</v>
      </c>
      <c r="C20" s="39">
        <v>4</v>
      </c>
      <c r="D20" s="40">
        <f t="shared" ref="D20:D28" si="7">D19-G19</f>
        <v>90000</v>
      </c>
      <c r="E20" s="40">
        <f t="shared" si="2"/>
        <v>7560</v>
      </c>
      <c r="F20" s="40">
        <f t="shared" ref="F20:F28" si="8">ROUND(D20*$D$4,2)*$D$6</f>
        <v>7560</v>
      </c>
      <c r="G20" s="41">
        <f t="shared" ref="G20:G28" si="9">E20-F20</f>
        <v>0</v>
      </c>
      <c r="H20" s="92">
        <f t="shared" ref="H20:H28" si="10">ROUND(D20*$E$4,2)*$D$6</f>
        <v>6804</v>
      </c>
      <c r="I20" s="45">
        <f t="shared" ref="I20:I28" si="11">G20+H20</f>
        <v>6804</v>
      </c>
      <c r="M20" s="59">
        <f t="shared" si="3"/>
        <v>44855</v>
      </c>
      <c r="N20">
        <f t="shared" ref="N20:N29" si="12">N19+$D$6</f>
        <v>112</v>
      </c>
      <c r="O20" s="39">
        <v>4</v>
      </c>
      <c r="P20" s="40">
        <f t="shared" ref="P20:P28" si="13">P19-S19</f>
        <v>90000</v>
      </c>
      <c r="Q20" s="40">
        <f t="shared" si="4"/>
        <v>7560</v>
      </c>
      <c r="R20" s="40">
        <f t="shared" ref="R20:R28" si="14">ROUND(P20*$D$4,2)*$D$6</f>
        <v>7560</v>
      </c>
      <c r="S20" s="41">
        <f t="shared" ref="S20:S28" si="15">Q20-R20</f>
        <v>0</v>
      </c>
      <c r="T20" s="92">
        <f t="shared" ref="T20:T28" si="16">ROUND(P20*$E$4,2)*$D$6</f>
        <v>6804</v>
      </c>
      <c r="U20" s="45">
        <f t="shared" ref="U20:U28" si="17">S20+T20</f>
        <v>6804</v>
      </c>
      <c r="Y20" s="59">
        <f t="shared" si="5"/>
        <v>44855</v>
      </c>
      <c r="Z20">
        <f t="shared" ref="Z20:Z29" si="18">Z19+$D$6</f>
        <v>112</v>
      </c>
      <c r="AA20" s="39">
        <v>4</v>
      </c>
      <c r="AB20" s="40">
        <f t="shared" ref="AB20:AB28" si="19">AB19-AE19</f>
        <v>90000</v>
      </c>
      <c r="AC20" s="40">
        <f t="shared" si="6"/>
        <v>7560</v>
      </c>
      <c r="AD20" s="40">
        <f t="shared" ref="AD20:AD28" si="20">ROUND(AB20*$D$4,2)*$D$6</f>
        <v>7560</v>
      </c>
      <c r="AE20" s="41">
        <f t="shared" ref="AE20:AE28" si="21">AC20-AD20</f>
        <v>0</v>
      </c>
      <c r="AF20" s="92">
        <f t="shared" ref="AF20:AF28" si="22">ROUND(AB20*$E$4,2)*$D$6</f>
        <v>6804</v>
      </c>
      <c r="AG20" s="45">
        <f t="shared" ref="AG20:AG28" si="23">AE20+AF20</f>
        <v>6804</v>
      </c>
    </row>
    <row r="21" spans="1:33" x14ac:dyDescent="0.25">
      <c r="A21" s="59">
        <f t="shared" si="0"/>
        <v>44883</v>
      </c>
      <c r="B21">
        <f t="shared" si="1"/>
        <v>140</v>
      </c>
      <c r="C21" s="39">
        <v>5</v>
      </c>
      <c r="D21" s="40">
        <f t="shared" si="7"/>
        <v>90000</v>
      </c>
      <c r="E21" s="40">
        <f t="shared" si="2"/>
        <v>7560</v>
      </c>
      <c r="F21" s="40">
        <f t="shared" si="8"/>
        <v>7560</v>
      </c>
      <c r="G21" s="41">
        <f t="shared" si="9"/>
        <v>0</v>
      </c>
      <c r="H21" s="92">
        <f t="shared" si="10"/>
        <v>6804</v>
      </c>
      <c r="I21" s="45">
        <f t="shared" si="11"/>
        <v>6804</v>
      </c>
      <c r="M21" s="59">
        <f t="shared" si="3"/>
        <v>44883</v>
      </c>
      <c r="N21">
        <f t="shared" si="12"/>
        <v>140</v>
      </c>
      <c r="O21" s="39">
        <v>5</v>
      </c>
      <c r="P21" s="40">
        <f t="shared" si="13"/>
        <v>90000</v>
      </c>
      <c r="Q21" s="40">
        <f t="shared" si="4"/>
        <v>7560</v>
      </c>
      <c r="R21" s="40">
        <f t="shared" si="14"/>
        <v>7560</v>
      </c>
      <c r="S21" s="41">
        <f t="shared" si="15"/>
        <v>0</v>
      </c>
      <c r="T21" s="92">
        <f t="shared" si="16"/>
        <v>6804</v>
      </c>
      <c r="U21" s="45">
        <f t="shared" si="17"/>
        <v>6804</v>
      </c>
      <c r="Y21" s="59">
        <f t="shared" si="5"/>
        <v>44883</v>
      </c>
      <c r="Z21">
        <f t="shared" si="18"/>
        <v>140</v>
      </c>
      <c r="AA21" s="39">
        <v>5</v>
      </c>
      <c r="AB21" s="40">
        <f t="shared" si="19"/>
        <v>90000</v>
      </c>
      <c r="AC21" s="40">
        <f t="shared" si="6"/>
        <v>7560</v>
      </c>
      <c r="AD21" s="40">
        <f t="shared" si="20"/>
        <v>7560</v>
      </c>
      <c r="AE21" s="41">
        <f t="shared" si="21"/>
        <v>0</v>
      </c>
      <c r="AF21" s="92">
        <f t="shared" si="22"/>
        <v>6804</v>
      </c>
      <c r="AG21" s="45">
        <f t="shared" si="23"/>
        <v>6804</v>
      </c>
    </row>
    <row r="22" spans="1:33" x14ac:dyDescent="0.25">
      <c r="A22" s="59">
        <f t="shared" si="0"/>
        <v>44911</v>
      </c>
      <c r="B22">
        <f t="shared" si="1"/>
        <v>168</v>
      </c>
      <c r="C22" s="39">
        <v>6</v>
      </c>
      <c r="D22" s="40">
        <f t="shared" si="7"/>
        <v>90000</v>
      </c>
      <c r="E22" s="40">
        <f t="shared" si="2"/>
        <v>7560</v>
      </c>
      <c r="F22" s="40">
        <f t="shared" si="8"/>
        <v>7560</v>
      </c>
      <c r="G22" s="41">
        <f t="shared" si="9"/>
        <v>0</v>
      </c>
      <c r="H22" s="92">
        <f t="shared" si="10"/>
        <v>6804</v>
      </c>
      <c r="I22" s="45">
        <f t="shared" si="11"/>
        <v>6804</v>
      </c>
      <c r="M22" s="59">
        <f t="shared" si="3"/>
        <v>44911</v>
      </c>
      <c r="N22">
        <f t="shared" si="12"/>
        <v>168</v>
      </c>
      <c r="O22" s="39">
        <v>6</v>
      </c>
      <c r="P22" s="40">
        <f t="shared" si="13"/>
        <v>90000</v>
      </c>
      <c r="Q22" s="40">
        <f t="shared" si="4"/>
        <v>7560</v>
      </c>
      <c r="R22" s="40">
        <f t="shared" si="14"/>
        <v>7560</v>
      </c>
      <c r="S22" s="41">
        <f t="shared" si="15"/>
        <v>0</v>
      </c>
      <c r="T22" s="92">
        <f t="shared" si="16"/>
        <v>6804</v>
      </c>
      <c r="U22" s="45">
        <f t="shared" si="17"/>
        <v>6804</v>
      </c>
      <c r="Y22" s="59">
        <f t="shared" si="5"/>
        <v>44911</v>
      </c>
      <c r="Z22">
        <f t="shared" si="18"/>
        <v>168</v>
      </c>
      <c r="AA22" s="39">
        <v>6</v>
      </c>
      <c r="AB22" s="40">
        <f t="shared" si="19"/>
        <v>90000</v>
      </c>
      <c r="AC22" s="40">
        <f t="shared" si="6"/>
        <v>7560</v>
      </c>
      <c r="AD22" s="40">
        <f t="shared" si="20"/>
        <v>7560</v>
      </c>
      <c r="AE22" s="41">
        <f t="shared" si="21"/>
        <v>0</v>
      </c>
      <c r="AF22" s="92">
        <f t="shared" si="22"/>
        <v>6804</v>
      </c>
      <c r="AG22" s="45">
        <f t="shared" si="23"/>
        <v>6804</v>
      </c>
    </row>
    <row r="23" spans="1:33" x14ac:dyDescent="0.25">
      <c r="A23" s="59">
        <f t="shared" si="0"/>
        <v>44939</v>
      </c>
      <c r="B23">
        <f t="shared" si="1"/>
        <v>196</v>
      </c>
      <c r="C23" s="39">
        <v>7</v>
      </c>
      <c r="D23" s="40">
        <f t="shared" si="7"/>
        <v>90000</v>
      </c>
      <c r="E23" s="40">
        <f t="shared" si="2"/>
        <v>7560</v>
      </c>
      <c r="F23" s="40">
        <f t="shared" si="8"/>
        <v>7560</v>
      </c>
      <c r="G23" s="41">
        <f t="shared" si="9"/>
        <v>0</v>
      </c>
      <c r="H23" s="92">
        <f t="shared" si="10"/>
        <v>6804</v>
      </c>
      <c r="I23" s="45">
        <f t="shared" si="11"/>
        <v>6804</v>
      </c>
      <c r="M23" s="59">
        <f t="shared" si="3"/>
        <v>44939</v>
      </c>
      <c r="N23">
        <f t="shared" si="12"/>
        <v>196</v>
      </c>
      <c r="O23" s="39">
        <v>7</v>
      </c>
      <c r="P23" s="40">
        <f t="shared" si="13"/>
        <v>90000</v>
      </c>
      <c r="Q23" s="40">
        <f t="shared" si="4"/>
        <v>7560</v>
      </c>
      <c r="R23" s="40">
        <f t="shared" si="14"/>
        <v>7560</v>
      </c>
      <c r="S23" s="41">
        <f t="shared" si="15"/>
        <v>0</v>
      </c>
      <c r="T23" s="92">
        <f t="shared" si="16"/>
        <v>6804</v>
      </c>
      <c r="U23" s="45">
        <f t="shared" si="17"/>
        <v>6804</v>
      </c>
      <c r="Y23" s="59">
        <f t="shared" si="5"/>
        <v>44939</v>
      </c>
      <c r="Z23">
        <f t="shared" si="18"/>
        <v>196</v>
      </c>
      <c r="AA23" s="39">
        <v>7</v>
      </c>
      <c r="AB23" s="40">
        <f t="shared" si="19"/>
        <v>90000</v>
      </c>
      <c r="AC23" s="40">
        <f t="shared" si="6"/>
        <v>7560</v>
      </c>
      <c r="AD23" s="40">
        <f t="shared" si="20"/>
        <v>7560</v>
      </c>
      <c r="AE23" s="41">
        <f t="shared" si="21"/>
        <v>0</v>
      </c>
      <c r="AF23" s="92">
        <f t="shared" si="22"/>
        <v>6804</v>
      </c>
      <c r="AG23" s="45">
        <f t="shared" si="23"/>
        <v>6804</v>
      </c>
    </row>
    <row r="24" spans="1:33" x14ac:dyDescent="0.25">
      <c r="A24" s="59">
        <f t="shared" si="0"/>
        <v>44967</v>
      </c>
      <c r="B24">
        <f t="shared" si="1"/>
        <v>224</v>
      </c>
      <c r="C24" s="39">
        <v>8</v>
      </c>
      <c r="D24" s="40">
        <f t="shared" si="7"/>
        <v>90000</v>
      </c>
      <c r="E24" s="40">
        <f t="shared" si="2"/>
        <v>7560</v>
      </c>
      <c r="F24" s="40">
        <f t="shared" si="8"/>
        <v>7560</v>
      </c>
      <c r="G24" s="41">
        <f t="shared" si="9"/>
        <v>0</v>
      </c>
      <c r="H24" s="92">
        <f t="shared" si="10"/>
        <v>6804</v>
      </c>
      <c r="I24" s="45">
        <f t="shared" si="11"/>
        <v>6804</v>
      </c>
      <c r="M24" s="59">
        <f t="shared" si="3"/>
        <v>44967</v>
      </c>
      <c r="N24">
        <f t="shared" si="12"/>
        <v>224</v>
      </c>
      <c r="O24" s="39">
        <v>8</v>
      </c>
      <c r="P24" s="40">
        <f t="shared" si="13"/>
        <v>90000</v>
      </c>
      <c r="Q24" s="40">
        <f t="shared" si="4"/>
        <v>7560</v>
      </c>
      <c r="R24" s="40">
        <f t="shared" si="14"/>
        <v>7560</v>
      </c>
      <c r="S24" s="41">
        <f t="shared" si="15"/>
        <v>0</v>
      </c>
      <c r="T24" s="92">
        <f t="shared" si="16"/>
        <v>6804</v>
      </c>
      <c r="U24" s="45">
        <f t="shared" si="17"/>
        <v>6804</v>
      </c>
      <c r="Y24" s="59">
        <f t="shared" si="5"/>
        <v>44967</v>
      </c>
      <c r="Z24">
        <f t="shared" si="18"/>
        <v>224</v>
      </c>
      <c r="AA24" s="39">
        <v>8</v>
      </c>
      <c r="AB24" s="40">
        <f t="shared" si="19"/>
        <v>90000</v>
      </c>
      <c r="AC24" s="40">
        <f t="shared" si="6"/>
        <v>7560</v>
      </c>
      <c r="AD24" s="40">
        <f t="shared" si="20"/>
        <v>7560</v>
      </c>
      <c r="AE24" s="41">
        <f t="shared" si="21"/>
        <v>0</v>
      </c>
      <c r="AF24" s="92">
        <f t="shared" si="22"/>
        <v>6804</v>
      </c>
      <c r="AG24" s="45">
        <f t="shared" si="23"/>
        <v>6804</v>
      </c>
    </row>
    <row r="25" spans="1:33" x14ac:dyDescent="0.25">
      <c r="A25" s="59">
        <f t="shared" si="0"/>
        <v>44995</v>
      </c>
      <c r="B25">
        <f t="shared" si="1"/>
        <v>252</v>
      </c>
      <c r="C25" s="39">
        <v>9</v>
      </c>
      <c r="D25" s="40">
        <f t="shared" si="7"/>
        <v>90000</v>
      </c>
      <c r="E25" s="40">
        <f t="shared" si="2"/>
        <v>7560</v>
      </c>
      <c r="F25" s="40">
        <f t="shared" si="8"/>
        <v>7560</v>
      </c>
      <c r="G25" s="41">
        <f t="shared" si="9"/>
        <v>0</v>
      </c>
      <c r="H25" s="92">
        <f t="shared" si="10"/>
        <v>6804</v>
      </c>
      <c r="I25" s="45">
        <f t="shared" si="11"/>
        <v>6804</v>
      </c>
      <c r="M25" s="59">
        <f t="shared" si="3"/>
        <v>44995</v>
      </c>
      <c r="N25">
        <f t="shared" si="12"/>
        <v>252</v>
      </c>
      <c r="O25" s="39">
        <v>9</v>
      </c>
      <c r="P25" s="40">
        <f t="shared" si="13"/>
        <v>90000</v>
      </c>
      <c r="Q25" s="40">
        <f t="shared" si="4"/>
        <v>7560</v>
      </c>
      <c r="R25" s="40">
        <f t="shared" si="14"/>
        <v>7560</v>
      </c>
      <c r="S25" s="41">
        <f t="shared" si="15"/>
        <v>0</v>
      </c>
      <c r="T25" s="92">
        <f t="shared" si="16"/>
        <v>6804</v>
      </c>
      <c r="U25" s="45">
        <f t="shared" si="17"/>
        <v>6804</v>
      </c>
      <c r="Y25" s="59">
        <f t="shared" si="5"/>
        <v>44995</v>
      </c>
      <c r="Z25">
        <f t="shared" si="18"/>
        <v>252</v>
      </c>
      <c r="AA25" s="39">
        <v>9</v>
      </c>
      <c r="AB25" s="40">
        <f t="shared" si="19"/>
        <v>90000</v>
      </c>
      <c r="AC25" s="40">
        <f t="shared" si="6"/>
        <v>7560</v>
      </c>
      <c r="AD25" s="40">
        <f t="shared" si="20"/>
        <v>7560</v>
      </c>
      <c r="AE25" s="41">
        <f t="shared" si="21"/>
        <v>0</v>
      </c>
      <c r="AF25" s="92">
        <f t="shared" si="22"/>
        <v>6804</v>
      </c>
      <c r="AG25" s="45">
        <f t="shared" si="23"/>
        <v>6804</v>
      </c>
    </row>
    <row r="26" spans="1:33" x14ac:dyDescent="0.25">
      <c r="A26" s="59">
        <f t="shared" si="0"/>
        <v>45023</v>
      </c>
      <c r="B26">
        <f t="shared" si="1"/>
        <v>280</v>
      </c>
      <c r="C26" s="39">
        <v>10</v>
      </c>
      <c r="D26" s="40">
        <f t="shared" si="7"/>
        <v>90000</v>
      </c>
      <c r="E26" s="40">
        <f t="shared" si="2"/>
        <v>7560</v>
      </c>
      <c r="F26" s="40">
        <f t="shared" si="8"/>
        <v>7560</v>
      </c>
      <c r="G26" s="41">
        <f t="shared" si="9"/>
        <v>0</v>
      </c>
      <c r="H26" s="92">
        <f t="shared" si="10"/>
        <v>6804</v>
      </c>
      <c r="I26" s="45">
        <f t="shared" si="11"/>
        <v>6804</v>
      </c>
      <c r="M26" s="59">
        <f t="shared" si="3"/>
        <v>45023</v>
      </c>
      <c r="N26">
        <f t="shared" si="12"/>
        <v>280</v>
      </c>
      <c r="O26" s="39">
        <v>10</v>
      </c>
      <c r="P26" s="40">
        <f t="shared" si="13"/>
        <v>90000</v>
      </c>
      <c r="Q26" s="40">
        <f t="shared" si="4"/>
        <v>7560</v>
      </c>
      <c r="R26" s="40">
        <f t="shared" si="14"/>
        <v>7560</v>
      </c>
      <c r="S26" s="41">
        <f t="shared" si="15"/>
        <v>0</v>
      </c>
      <c r="T26" s="92">
        <f t="shared" si="16"/>
        <v>6804</v>
      </c>
      <c r="U26" s="45">
        <f t="shared" si="17"/>
        <v>6804</v>
      </c>
      <c r="Y26" s="59">
        <f t="shared" si="5"/>
        <v>45023</v>
      </c>
      <c r="Z26">
        <f t="shared" si="18"/>
        <v>280</v>
      </c>
      <c r="AA26" s="39">
        <v>10</v>
      </c>
      <c r="AB26" s="40">
        <f t="shared" si="19"/>
        <v>90000</v>
      </c>
      <c r="AC26" s="40">
        <f t="shared" si="6"/>
        <v>7560</v>
      </c>
      <c r="AD26" s="40">
        <f t="shared" si="20"/>
        <v>7560</v>
      </c>
      <c r="AE26" s="41">
        <f t="shared" si="21"/>
        <v>0</v>
      </c>
      <c r="AF26" s="92">
        <f t="shared" si="22"/>
        <v>6804</v>
      </c>
      <c r="AG26" s="45">
        <f t="shared" si="23"/>
        <v>6804</v>
      </c>
    </row>
    <row r="27" spans="1:33" x14ac:dyDescent="0.25">
      <c r="A27" s="59">
        <f t="shared" si="0"/>
        <v>45051</v>
      </c>
      <c r="B27">
        <f t="shared" si="1"/>
        <v>308</v>
      </c>
      <c r="C27" s="39">
        <v>11</v>
      </c>
      <c r="D27" s="40">
        <f t="shared" si="7"/>
        <v>90000</v>
      </c>
      <c r="E27" s="40">
        <f>$F$17</f>
        <v>7560</v>
      </c>
      <c r="F27" s="40">
        <f t="shared" si="8"/>
        <v>7560</v>
      </c>
      <c r="G27" s="41">
        <f t="shared" si="9"/>
        <v>0</v>
      </c>
      <c r="H27" s="92">
        <f t="shared" si="10"/>
        <v>6804</v>
      </c>
      <c r="I27" s="45">
        <f t="shared" si="11"/>
        <v>6804</v>
      </c>
      <c r="M27" s="59">
        <f t="shared" si="3"/>
        <v>45051</v>
      </c>
      <c r="N27">
        <f t="shared" si="12"/>
        <v>308</v>
      </c>
      <c r="O27" s="39">
        <v>11</v>
      </c>
      <c r="P27" s="40">
        <f t="shared" si="13"/>
        <v>90000</v>
      </c>
      <c r="Q27" s="40">
        <f>$F$17</f>
        <v>7560</v>
      </c>
      <c r="R27" s="40">
        <f t="shared" si="14"/>
        <v>7560</v>
      </c>
      <c r="S27" s="41">
        <f t="shared" si="15"/>
        <v>0</v>
      </c>
      <c r="T27" s="92">
        <f t="shared" si="16"/>
        <v>6804</v>
      </c>
      <c r="U27" s="45">
        <f t="shared" si="17"/>
        <v>6804</v>
      </c>
      <c r="Y27" s="59">
        <f t="shared" si="5"/>
        <v>45051</v>
      </c>
      <c r="Z27">
        <f t="shared" si="18"/>
        <v>308</v>
      </c>
      <c r="AA27" s="39">
        <v>11</v>
      </c>
      <c r="AB27" s="40">
        <f t="shared" si="19"/>
        <v>90000</v>
      </c>
      <c r="AC27" s="40">
        <f>$F$17</f>
        <v>7560</v>
      </c>
      <c r="AD27" s="40">
        <f t="shared" si="20"/>
        <v>7560</v>
      </c>
      <c r="AE27" s="41">
        <f t="shared" si="21"/>
        <v>0</v>
      </c>
      <c r="AF27" s="92">
        <f t="shared" si="22"/>
        <v>6804</v>
      </c>
      <c r="AG27" s="45">
        <f t="shared" si="23"/>
        <v>6804</v>
      </c>
    </row>
    <row r="28" spans="1:33" x14ac:dyDescent="0.25">
      <c r="A28" s="59">
        <f t="shared" si="0"/>
        <v>45079</v>
      </c>
      <c r="B28">
        <f t="shared" si="1"/>
        <v>336</v>
      </c>
      <c r="C28" s="39">
        <v>12</v>
      </c>
      <c r="D28" s="40">
        <f t="shared" si="7"/>
        <v>90000</v>
      </c>
      <c r="E28" s="40">
        <f t="shared" si="2"/>
        <v>7560</v>
      </c>
      <c r="F28" s="40">
        <f t="shared" si="8"/>
        <v>7560</v>
      </c>
      <c r="G28" s="41">
        <f t="shared" si="9"/>
        <v>0</v>
      </c>
      <c r="H28" s="92">
        <f t="shared" si="10"/>
        <v>6804</v>
      </c>
      <c r="I28" s="45">
        <f t="shared" si="11"/>
        <v>6804</v>
      </c>
      <c r="M28" s="59">
        <f t="shared" si="3"/>
        <v>45079</v>
      </c>
      <c r="N28">
        <f t="shared" si="12"/>
        <v>336</v>
      </c>
      <c r="O28" s="39">
        <v>12</v>
      </c>
      <c r="P28" s="40">
        <f t="shared" si="13"/>
        <v>90000</v>
      </c>
      <c r="Q28" s="40">
        <f t="shared" si="4"/>
        <v>7560</v>
      </c>
      <c r="R28" s="40">
        <f t="shared" si="14"/>
        <v>7560</v>
      </c>
      <c r="S28" s="41">
        <f t="shared" si="15"/>
        <v>0</v>
      </c>
      <c r="T28" s="92">
        <f t="shared" si="16"/>
        <v>6804</v>
      </c>
      <c r="U28" s="45">
        <f t="shared" si="17"/>
        <v>6804</v>
      </c>
      <c r="Y28" s="59">
        <f t="shared" si="5"/>
        <v>45079</v>
      </c>
      <c r="Z28">
        <f t="shared" si="18"/>
        <v>336</v>
      </c>
      <c r="AA28" s="39">
        <v>12</v>
      </c>
      <c r="AB28" s="40">
        <f t="shared" si="19"/>
        <v>90000</v>
      </c>
      <c r="AC28" s="40">
        <f t="shared" si="6"/>
        <v>7560</v>
      </c>
      <c r="AD28" s="40">
        <f t="shared" si="20"/>
        <v>7560</v>
      </c>
      <c r="AE28" s="41">
        <f t="shared" si="21"/>
        <v>0</v>
      </c>
      <c r="AF28" s="92">
        <f t="shared" si="22"/>
        <v>6804</v>
      </c>
      <c r="AG28" s="45">
        <f t="shared" si="23"/>
        <v>6804</v>
      </c>
    </row>
    <row r="29" spans="1:33" x14ac:dyDescent="0.25">
      <c r="A29" s="59">
        <f t="shared" si="0"/>
        <v>45107</v>
      </c>
      <c r="B29">
        <f t="shared" si="1"/>
        <v>364</v>
      </c>
      <c r="C29" s="39">
        <v>13</v>
      </c>
      <c r="D29" s="40">
        <f>D28-G28</f>
        <v>90000</v>
      </c>
      <c r="E29" s="40">
        <f>$F$17+D29</f>
        <v>97560</v>
      </c>
      <c r="F29" s="40">
        <f>ROUND(D29*$D$4,2)*$D$6</f>
        <v>7560</v>
      </c>
      <c r="G29" s="41">
        <f>E29-F29</f>
        <v>90000</v>
      </c>
      <c r="H29" s="92">
        <f>ROUND(D29*$E$4,2)*$D$6</f>
        <v>6804</v>
      </c>
      <c r="I29" s="45">
        <f>G29+H29</f>
        <v>96804</v>
      </c>
      <c r="M29" s="59">
        <f>M19+N29-N19</f>
        <v>45107</v>
      </c>
      <c r="N29">
        <f t="shared" si="12"/>
        <v>364</v>
      </c>
      <c r="O29" s="39">
        <v>13</v>
      </c>
      <c r="P29" s="40">
        <f>P28-S28</f>
        <v>90000</v>
      </c>
      <c r="Q29" s="40">
        <f>$F$17+P29</f>
        <v>97560</v>
      </c>
      <c r="R29" s="40">
        <f>ROUND(P29*$D$4,2)*$D$6</f>
        <v>7560</v>
      </c>
      <c r="S29" s="41">
        <f>Q29-R29</f>
        <v>90000</v>
      </c>
      <c r="T29" s="92">
        <f>ROUND(P29*$E$4,2)*$D$6</f>
        <v>6804</v>
      </c>
      <c r="U29" s="45">
        <f>S29+T29</f>
        <v>96804</v>
      </c>
      <c r="Y29" s="59">
        <f t="shared" si="5"/>
        <v>45107</v>
      </c>
      <c r="Z29">
        <f t="shared" si="18"/>
        <v>364</v>
      </c>
      <c r="AA29" s="39">
        <v>13</v>
      </c>
      <c r="AB29" s="40">
        <f>AB28-AE28</f>
        <v>90000</v>
      </c>
      <c r="AC29" s="40">
        <f>$F$17+AB29</f>
        <v>97560</v>
      </c>
      <c r="AD29" s="40">
        <f>ROUND(AB29*$D$4,2)*$D$6</f>
        <v>7560</v>
      </c>
      <c r="AE29" s="41">
        <f>AC29-AD29</f>
        <v>90000</v>
      </c>
      <c r="AF29" s="92">
        <f>ROUND(AB29*$E$4,2)*$D$6</f>
        <v>6804</v>
      </c>
      <c r="AG29" s="45">
        <f>AE29+AF29</f>
        <v>96804</v>
      </c>
    </row>
    <row r="30" spans="1:33" ht="15.75" thickBot="1" x14ac:dyDescent="0.3">
      <c r="C30" s="143" t="s">
        <v>20</v>
      </c>
      <c r="D30" s="144"/>
      <c r="E30" s="130">
        <f>SUM(E16:E29)</f>
        <v>188280</v>
      </c>
      <c r="F30" s="130">
        <f>SUM(F16:F29)</f>
        <v>98280</v>
      </c>
      <c r="G30" s="47">
        <f>SUM(G16:G29)</f>
        <v>90000</v>
      </c>
      <c r="H30" s="48">
        <f>SUM(H17:H29)</f>
        <v>88452</v>
      </c>
      <c r="I30" s="49">
        <f>G30+H30</f>
        <v>178452</v>
      </c>
      <c r="M30" s="59"/>
      <c r="O30" s="136" t="s">
        <v>20</v>
      </c>
      <c r="P30" s="137"/>
      <c r="Q30" s="73">
        <f>SUM(Q16:Q29)</f>
        <v>188280</v>
      </c>
      <c r="R30" s="73">
        <f>SUM(R16:R29)</f>
        <v>98280</v>
      </c>
      <c r="S30" s="47">
        <f>SUM(S16:S29)</f>
        <v>90000</v>
      </c>
      <c r="T30" s="48">
        <f>SUM(T17:T29)</f>
        <v>88452</v>
      </c>
      <c r="U30" s="49">
        <f>S30+T30</f>
        <v>178452</v>
      </c>
      <c r="Y30" s="59"/>
      <c r="AA30" s="136" t="s">
        <v>20</v>
      </c>
      <c r="AB30" s="137"/>
      <c r="AC30" s="73">
        <f>SUM(AC16:AC29)</f>
        <v>188280</v>
      </c>
      <c r="AD30" s="73">
        <f>SUM(AD16:AD29)</f>
        <v>98280</v>
      </c>
      <c r="AE30" s="47">
        <f>SUM(AE16:AE29)</f>
        <v>90000</v>
      </c>
      <c r="AF30" s="48">
        <f>SUM(AF17:AF29)</f>
        <v>88452</v>
      </c>
      <c r="AG30" s="49">
        <f>AE30+AF30</f>
        <v>178452</v>
      </c>
    </row>
    <row r="31" spans="1:33" x14ac:dyDescent="0.25">
      <c r="E31" s="28">
        <f>E30/G30</f>
        <v>2.0920000000000001</v>
      </c>
      <c r="I31" s="29">
        <f>I30/G30</f>
        <v>1.9827999999999999</v>
      </c>
      <c r="M31" s="59"/>
      <c r="Q31" s="28">
        <f>Q30/S30</f>
        <v>2.0920000000000001</v>
      </c>
      <c r="U31" s="29">
        <f>U30/S30</f>
        <v>1.9827999999999999</v>
      </c>
      <c r="Y31" s="59"/>
      <c r="AC31" s="28">
        <f>AC30/AE30</f>
        <v>2.0920000000000001</v>
      </c>
      <c r="AG31" s="29">
        <f>AG30/AE30</f>
        <v>1.9827999999999999</v>
      </c>
    </row>
    <row r="33" spans="1:35" ht="15.75" thickBot="1" x14ac:dyDescent="0.3"/>
    <row r="34" spans="1:35" ht="87.75" customHeight="1" x14ac:dyDescent="0.25">
      <c r="B34" s="63" t="s">
        <v>43</v>
      </c>
      <c r="C34" s="9" t="s">
        <v>45</v>
      </c>
      <c r="D34" s="10" t="s">
        <v>65</v>
      </c>
      <c r="E34" s="10" t="s">
        <v>46</v>
      </c>
      <c r="F34" s="10" t="s">
        <v>47</v>
      </c>
      <c r="G34" s="10" t="s">
        <v>48</v>
      </c>
      <c r="H34" s="10" t="s">
        <v>69</v>
      </c>
      <c r="I34" s="11" t="s">
        <v>75</v>
      </c>
      <c r="N34" s="67" t="s">
        <v>94</v>
      </c>
      <c r="O34" s="9" t="s">
        <v>45</v>
      </c>
      <c r="P34" s="10" t="s">
        <v>65</v>
      </c>
      <c r="Q34" s="10" t="s">
        <v>95</v>
      </c>
      <c r="R34" s="10" t="s">
        <v>47</v>
      </c>
      <c r="S34" s="10" t="s">
        <v>48</v>
      </c>
      <c r="T34" s="10" t="s">
        <v>100</v>
      </c>
      <c r="U34" s="11" t="s">
        <v>101</v>
      </c>
      <c r="Z34" s="67" t="s">
        <v>94</v>
      </c>
      <c r="AA34" s="9" t="s">
        <v>45</v>
      </c>
      <c r="AB34" s="10" t="s">
        <v>65</v>
      </c>
      <c r="AC34" s="10" t="s">
        <v>95</v>
      </c>
      <c r="AD34" s="10" t="s">
        <v>47</v>
      </c>
      <c r="AE34" s="10" t="s">
        <v>48</v>
      </c>
      <c r="AF34" s="10" t="s">
        <v>69</v>
      </c>
      <c r="AG34" s="11" t="s">
        <v>49</v>
      </c>
    </row>
    <row r="35" spans="1:35" ht="15.75" thickBot="1" x14ac:dyDescent="0.3">
      <c r="C35" s="56">
        <f>D17</f>
        <v>90000</v>
      </c>
      <c r="D35" s="57">
        <f>F17+G17</f>
        <v>7560</v>
      </c>
      <c r="E35" s="57">
        <f>ROUND(C35*$D$4,2)*10</f>
        <v>2700</v>
      </c>
      <c r="F35" s="57">
        <f>G17</f>
        <v>0</v>
      </c>
      <c r="G35" s="44">
        <f>ROUND(C35*$E$4,2)*10</f>
        <v>2430</v>
      </c>
      <c r="H35" s="57">
        <f>F35+G35</f>
        <v>2430</v>
      </c>
      <c r="I35" s="30">
        <f>C35+E35</f>
        <v>92700</v>
      </c>
      <c r="O35" s="56">
        <f>P18</f>
        <v>90000</v>
      </c>
      <c r="P35" s="57">
        <f>Q18</f>
        <v>7560</v>
      </c>
      <c r="Q35" s="57">
        <f>ROUND(O35*$D$4,2)*(N44-N43)</f>
        <v>3240</v>
      </c>
      <c r="R35" s="57">
        <f>S18</f>
        <v>0</v>
      </c>
      <c r="S35" s="44">
        <f>ROUND(O35*$E$4,2)*(N44-N43)</f>
        <v>2916</v>
      </c>
      <c r="T35" s="57">
        <f>R35+S35</f>
        <v>2916</v>
      </c>
      <c r="U35" s="83">
        <f>O35+Q35</f>
        <v>93240</v>
      </c>
      <c r="Z35" s="78" t="s">
        <v>79</v>
      </c>
      <c r="AA35" s="56">
        <f>AB18</f>
        <v>90000</v>
      </c>
      <c r="AB35" s="57">
        <f>AC18</f>
        <v>7560</v>
      </c>
      <c r="AC35" s="57">
        <f>ROUND(AA35*$D$4,2)*(Z44-Z43)</f>
        <v>3240</v>
      </c>
      <c r="AD35" s="57">
        <f>AE18</f>
        <v>0</v>
      </c>
      <c r="AE35" s="44">
        <f>ROUND(AA35*$E$4,2)*(Z44-Z43)</f>
        <v>2916</v>
      </c>
      <c r="AF35" s="57">
        <f>AD35+AE35</f>
        <v>2916</v>
      </c>
      <c r="AG35" s="83">
        <f>AA35+AC35</f>
        <v>93240</v>
      </c>
    </row>
    <row r="37" spans="1:35" x14ac:dyDescent="0.25">
      <c r="AA37" t="s">
        <v>45</v>
      </c>
      <c r="AB37" t="s">
        <v>82</v>
      </c>
      <c r="AD37" t="s">
        <v>87</v>
      </c>
    </row>
    <row r="38" spans="1:35" ht="15.75" thickBot="1" x14ac:dyDescent="0.3">
      <c r="Z38" s="77" t="s">
        <v>80</v>
      </c>
      <c r="AA38" s="56">
        <f>AE43</f>
        <v>0</v>
      </c>
      <c r="AB38" s="57">
        <f>AD43+ROUND(AA38*$D$4,2)*(Z44-Z43)</f>
        <v>7560</v>
      </c>
      <c r="AC38" s="79">
        <f>AA38+AB38</f>
        <v>7560</v>
      </c>
      <c r="AD38" s="131">
        <f xml:space="preserve"> ROUND(AA35*20/100/365,2)*(Z44-Z43)</f>
        <v>591.84</v>
      </c>
    </row>
    <row r="40" spans="1:35" ht="75.75" thickBot="1" x14ac:dyDescent="0.3">
      <c r="B40" t="s">
        <v>70</v>
      </c>
      <c r="C40" s="32">
        <v>92700</v>
      </c>
      <c r="D40" s="23" t="s">
        <v>104</v>
      </c>
      <c r="E40" s="68">
        <f>C35+E35</f>
        <v>92700</v>
      </c>
      <c r="K40" s="23" t="s">
        <v>84</v>
      </c>
      <c r="N40" t="s">
        <v>70</v>
      </c>
      <c r="O40" s="32">
        <v>93240</v>
      </c>
      <c r="P40" s="23" t="s">
        <v>105</v>
      </c>
      <c r="Q40" s="81">
        <f>O35+Q35</f>
        <v>93240</v>
      </c>
      <c r="R40" s="68"/>
      <c r="W40" s="23" t="s">
        <v>84</v>
      </c>
      <c r="Z40" t="s">
        <v>70</v>
      </c>
      <c r="AA40" s="80">
        <f>AC40-AC38-AD38</f>
        <v>93240</v>
      </c>
      <c r="AB40" s="23" t="s">
        <v>99</v>
      </c>
      <c r="AC40" s="81">
        <f>AA35+AC35+AD38+AC38</f>
        <v>101391.84</v>
      </c>
      <c r="AD40" s="68"/>
    </row>
    <row r="41" spans="1:35" ht="45" x14ac:dyDescent="0.25">
      <c r="A41" t="s">
        <v>77</v>
      </c>
      <c r="B41" t="s">
        <v>76</v>
      </c>
      <c r="C41" s="9" t="s">
        <v>15</v>
      </c>
      <c r="D41" s="10" t="s">
        <v>71</v>
      </c>
      <c r="E41" s="10" t="s">
        <v>73</v>
      </c>
      <c r="F41" s="10" t="s">
        <v>72</v>
      </c>
      <c r="G41" s="11" t="s">
        <v>19</v>
      </c>
      <c r="H41" s="24" t="s">
        <v>85</v>
      </c>
      <c r="I41" s="25" t="s">
        <v>86</v>
      </c>
      <c r="K41">
        <v>13</v>
      </c>
      <c r="M41" t="s">
        <v>77</v>
      </c>
      <c r="N41" t="s">
        <v>76</v>
      </c>
      <c r="O41" s="9" t="s">
        <v>15</v>
      </c>
      <c r="P41" s="10" t="s">
        <v>71</v>
      </c>
      <c r="Q41" s="10" t="s">
        <v>73</v>
      </c>
      <c r="R41" s="10" t="s">
        <v>72</v>
      </c>
      <c r="S41" s="11" t="s">
        <v>19</v>
      </c>
      <c r="T41" s="24" t="s">
        <v>85</v>
      </c>
      <c r="U41" s="25" t="s">
        <v>86</v>
      </c>
      <c r="W41">
        <v>12</v>
      </c>
      <c r="Y41" t="s">
        <v>77</v>
      </c>
      <c r="Z41" t="s">
        <v>76</v>
      </c>
      <c r="AA41" s="9" t="s">
        <v>15</v>
      </c>
      <c r="AB41" s="10" t="s">
        <v>71</v>
      </c>
      <c r="AC41" s="10" t="s">
        <v>73</v>
      </c>
      <c r="AD41" s="10" t="s">
        <v>72</v>
      </c>
      <c r="AE41" s="11" t="s">
        <v>19</v>
      </c>
      <c r="AF41" s="24" t="s">
        <v>85</v>
      </c>
      <c r="AG41" s="25" t="s">
        <v>86</v>
      </c>
      <c r="AI41">
        <v>12</v>
      </c>
    </row>
    <row r="42" spans="1:35" x14ac:dyDescent="0.25">
      <c r="A42" s="59">
        <v>44743</v>
      </c>
      <c r="B42">
        <v>0</v>
      </c>
      <c r="C42" s="39">
        <v>0</v>
      </c>
      <c r="D42" s="40">
        <f>D17</f>
        <v>90000</v>
      </c>
      <c r="E42" s="40"/>
      <c r="F42" s="40"/>
      <c r="G42" s="41"/>
      <c r="H42" s="42"/>
      <c r="I42" s="43"/>
      <c r="M42" s="59">
        <v>44743</v>
      </c>
      <c r="N42">
        <v>0</v>
      </c>
      <c r="O42" s="38">
        <v>0</v>
      </c>
      <c r="Q42" s="40"/>
      <c r="R42" s="40"/>
      <c r="T42" s="42"/>
      <c r="U42" s="43"/>
      <c r="Y42" s="59">
        <v>44743</v>
      </c>
      <c r="Z42">
        <v>0</v>
      </c>
      <c r="AA42" s="38">
        <v>0</v>
      </c>
      <c r="AC42" s="40"/>
      <c r="AD42" s="40"/>
      <c r="AF42" s="42"/>
      <c r="AG42" s="43"/>
    </row>
    <row r="43" spans="1:35" x14ac:dyDescent="0.25">
      <c r="A43" s="59">
        <f>A42+B43-B42</f>
        <v>44753</v>
      </c>
      <c r="B43" s="64">
        <v>10</v>
      </c>
      <c r="C43" s="39"/>
      <c r="E43" s="40"/>
      <c r="F43" s="72">
        <f>IF($E$35-$C$40&gt;0,$C$40,$E$35)</f>
        <v>2700</v>
      </c>
      <c r="G43" s="71">
        <f>C40-F43</f>
        <v>90000</v>
      </c>
      <c r="H43" s="42"/>
      <c r="I43" s="43"/>
      <c r="J43" s="61"/>
      <c r="K43">
        <f>C12</f>
        <v>7560</v>
      </c>
      <c r="M43" s="59">
        <f>M42+N43-N42</f>
        <v>44771</v>
      </c>
      <c r="N43">
        <v>28</v>
      </c>
      <c r="O43" s="38">
        <v>1</v>
      </c>
      <c r="P43" s="40">
        <f>P17</f>
        <v>90000</v>
      </c>
      <c r="Q43" s="40">
        <f>R43+S43</f>
        <v>7560</v>
      </c>
      <c r="R43" s="40">
        <f>ROUND(P43*$D$4,2)*$D$6</f>
        <v>7560</v>
      </c>
      <c r="S43" s="41">
        <f>S17</f>
        <v>0</v>
      </c>
      <c r="T43" s="92">
        <f>ROUND(P43*$E$4,2)*(N43-N42)</f>
        <v>6804</v>
      </c>
      <c r="U43" s="45">
        <f>S43+T43</f>
        <v>6804</v>
      </c>
      <c r="Y43" s="59">
        <f>Y42+Z43-Z42</f>
        <v>44771</v>
      </c>
      <c r="Z43">
        <v>28</v>
      </c>
      <c r="AA43" s="38">
        <v>1</v>
      </c>
      <c r="AB43" s="74">
        <f>AB17</f>
        <v>90000</v>
      </c>
      <c r="AC43" s="74">
        <f>AD43+AE43</f>
        <v>7560</v>
      </c>
      <c r="AD43" s="74">
        <f>ROUND(AB43*$D$4,2)*$D$6</f>
        <v>7560</v>
      </c>
      <c r="AE43" s="75">
        <f>AE17</f>
        <v>0</v>
      </c>
      <c r="AF43" s="87">
        <f>AD43</f>
        <v>7560</v>
      </c>
      <c r="AG43" s="88">
        <f>AE43+AF43</f>
        <v>7560</v>
      </c>
    </row>
    <row r="44" spans="1:35" x14ac:dyDescent="0.25">
      <c r="A44" s="59">
        <f>A43+B44-B43</f>
        <v>44771</v>
      </c>
      <c r="B44" s="60">
        <v>28</v>
      </c>
      <c r="C44" s="39"/>
      <c r="D44" s="40">
        <f>D42-G43</f>
        <v>0</v>
      </c>
      <c r="E44" s="40">
        <f>F44</f>
        <v>0</v>
      </c>
      <c r="F44" s="40">
        <f>ROUND(D44*$D$4,2)*$D$6</f>
        <v>0</v>
      </c>
      <c r="G44" s="41">
        <f>E44-F44</f>
        <v>0</v>
      </c>
      <c r="H44" s="92">
        <f>ROUND(D44*$E$4,2)*(B44-B43)</f>
        <v>0</v>
      </c>
      <c r="I44" s="45">
        <f>G44+H44</f>
        <v>0</v>
      </c>
      <c r="J44" s="61"/>
      <c r="M44" s="59">
        <f>M43+N44-N43</f>
        <v>44783</v>
      </c>
      <c r="N44" s="64">
        <v>40</v>
      </c>
      <c r="O44" s="38"/>
      <c r="R44" s="72">
        <f>IF($Q$35-$O$40&gt;0,$O$40,$Q$35)</f>
        <v>3240</v>
      </c>
      <c r="S44" s="72">
        <f>O40-R44</f>
        <v>90000</v>
      </c>
      <c r="T44" s="44"/>
      <c r="U44" s="45"/>
      <c r="Y44" s="59">
        <f>Y43+Z44-Z43</f>
        <v>44783</v>
      </c>
      <c r="Z44" s="64">
        <v>40</v>
      </c>
      <c r="AA44" s="38"/>
      <c r="AD44" s="72">
        <f>IF($AC$35-$AA$40&gt;0,$AA$40,$AC$35)</f>
        <v>3240</v>
      </c>
      <c r="AE44" s="72">
        <f>AA40-AD44</f>
        <v>90000</v>
      </c>
      <c r="AF44" s="44"/>
      <c r="AG44" s="45"/>
    </row>
    <row r="45" spans="1:35" x14ac:dyDescent="0.25">
      <c r="A45" s="59">
        <f>A44+B45-B44</f>
        <v>44799</v>
      </c>
      <c r="B45" s="129">
        <v>56</v>
      </c>
      <c r="C45" s="39"/>
      <c r="D45" s="40">
        <f>D44-G44</f>
        <v>0</v>
      </c>
      <c r="E45" s="40">
        <f>F45</f>
        <v>0</v>
      </c>
      <c r="F45" s="40">
        <f>ROUND(D45*$D$4,2)*$D$6</f>
        <v>0</v>
      </c>
      <c r="G45" s="41">
        <f>E45-F45</f>
        <v>0</v>
      </c>
      <c r="H45" s="92">
        <f>ROUND(D45*$E$4,2)*(B45-B44)</f>
        <v>0</v>
      </c>
      <c r="I45" s="45">
        <f>G45+H45</f>
        <v>0</v>
      </c>
      <c r="J45" s="60"/>
      <c r="M45" s="59">
        <f>M44+N45-N44</f>
        <v>44799</v>
      </c>
      <c r="N45">
        <v>56</v>
      </c>
      <c r="O45" s="38"/>
      <c r="P45" s="40">
        <f>P43-S43-S44</f>
        <v>0</v>
      </c>
      <c r="Q45" s="40">
        <f>W43</f>
        <v>0</v>
      </c>
      <c r="R45" s="40">
        <f>ROUND(P45*$D$4,2)*$D$6</f>
        <v>0</v>
      </c>
      <c r="S45" s="41">
        <f>Q45-R45</f>
        <v>0</v>
      </c>
      <c r="T45" s="92">
        <f>ROUND(P45*$E$4,2)*(N45-N44)</f>
        <v>0</v>
      </c>
      <c r="U45" s="45">
        <f>S45+T45</f>
        <v>0</v>
      </c>
      <c r="Y45" s="59">
        <f>Y44+Z45-Z44</f>
        <v>44799</v>
      </c>
      <c r="Z45">
        <v>56</v>
      </c>
      <c r="AA45" s="38"/>
      <c r="AB45" s="40">
        <f>AB43-AE43-AE44</f>
        <v>0</v>
      </c>
      <c r="AC45" s="40">
        <f>AI43</f>
        <v>0</v>
      </c>
      <c r="AD45" s="40">
        <f>ROUND(AB45*$D$4,2)*$D$6</f>
        <v>0</v>
      </c>
      <c r="AE45" s="41">
        <f>AC45-AD45</f>
        <v>0</v>
      </c>
      <c r="AF45" s="92">
        <f>ROUND(AB45*$E$4,2)*(Z45-Z44)</f>
        <v>0</v>
      </c>
      <c r="AG45" s="43">
        <f>AE45+AF45</f>
        <v>0</v>
      </c>
    </row>
    <row r="46" spans="1:35" ht="15.75" thickBot="1" x14ac:dyDescent="0.3">
      <c r="C46" s="136" t="s">
        <v>20</v>
      </c>
      <c r="D46" s="137"/>
      <c r="E46" s="73">
        <f>SUM(E42:E45)</f>
        <v>0</v>
      </c>
      <c r="F46" s="73">
        <f>SUM(F42:F45)</f>
        <v>2700</v>
      </c>
      <c r="G46" s="47">
        <f>SUM(G42:G45)</f>
        <v>90000</v>
      </c>
      <c r="H46" s="48">
        <f>SUM(H44:H45)</f>
        <v>0</v>
      </c>
      <c r="I46" s="49">
        <f>SUM(I43:I45)</f>
        <v>0</v>
      </c>
      <c r="O46" s="136" t="s">
        <v>20</v>
      </c>
      <c r="P46" s="137"/>
      <c r="Q46" s="73">
        <f>SUM(Q42:Q45)</f>
        <v>7560</v>
      </c>
      <c r="R46" s="73">
        <f>SUM(R42:R45)</f>
        <v>10800</v>
      </c>
      <c r="S46" s="47">
        <f>SUM(S43:S45)</f>
        <v>90000</v>
      </c>
      <c r="T46" s="48">
        <f>SUM(T43:T45)</f>
        <v>6804</v>
      </c>
      <c r="U46" s="49">
        <f>SUM(U43:U45)</f>
        <v>6804</v>
      </c>
      <c r="AA46" s="136" t="s">
        <v>20</v>
      </c>
      <c r="AB46" s="137"/>
      <c r="AC46" s="73">
        <f>SUM(AC42:AC45)</f>
        <v>7560</v>
      </c>
      <c r="AD46" s="73">
        <f>SUM(AD42:AD45)</f>
        <v>10800</v>
      </c>
      <c r="AE46" s="47">
        <f>SUM(AE43:AE45)</f>
        <v>90000</v>
      </c>
      <c r="AF46" s="48">
        <f>SUM(AF43:AF45)</f>
        <v>7560</v>
      </c>
      <c r="AG46" s="49">
        <f>SUM(AG43:AG45)</f>
        <v>7560</v>
      </c>
    </row>
    <row r="47" spans="1:35" x14ac:dyDescent="0.25">
      <c r="E47" s="28">
        <f>(F46+G46)/G46</f>
        <v>1.03</v>
      </c>
      <c r="F47" s="68">
        <f>F30-F46</f>
        <v>95580</v>
      </c>
      <c r="I47" s="29">
        <f>I46/G46</f>
        <v>0</v>
      </c>
      <c r="Q47" s="28">
        <f>(R46+S46)/S46</f>
        <v>1.1200000000000001</v>
      </c>
      <c r="R47" s="68">
        <f>R30-R46</f>
        <v>87480</v>
      </c>
      <c r="U47" s="29">
        <f>U46/S46</f>
        <v>7.5600000000000001E-2</v>
      </c>
      <c r="AC47" s="28">
        <f>(AD46+AE46)/AE46</f>
        <v>1.1200000000000001</v>
      </c>
      <c r="AD47" s="68">
        <f>AD30-AD46</f>
        <v>87480</v>
      </c>
      <c r="AG47" s="29">
        <f>AG46/AE46</f>
        <v>8.4000000000000005E-2</v>
      </c>
    </row>
    <row r="48" spans="1:35" x14ac:dyDescent="0.25">
      <c r="N48">
        <f>N44-N43</f>
        <v>12</v>
      </c>
    </row>
    <row r="53" spans="7:8" x14ac:dyDescent="0.25">
      <c r="G53" s="70"/>
      <c r="H53" s="70"/>
    </row>
  </sheetData>
  <mergeCells count="6">
    <mergeCell ref="C30:D30"/>
    <mergeCell ref="O30:P30"/>
    <mergeCell ref="AA30:AB30"/>
    <mergeCell ref="C46:D46"/>
    <mergeCell ref="O46:P46"/>
    <mergeCell ref="AA46:AB46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A757-1C27-48EA-BB83-6ECB2873AC00}">
  <sheetPr>
    <tabColor theme="9" tint="0.39997558519241921"/>
  </sheetPr>
  <dimension ref="A1:AW47"/>
  <sheetViews>
    <sheetView topLeftCell="A22" workbookViewId="0">
      <selection activeCell="R25" sqref="R25"/>
    </sheetView>
  </sheetViews>
  <sheetFormatPr defaultRowHeight="15" x14ac:dyDescent="0.25"/>
  <cols>
    <col min="1" max="1" width="10.140625" bestFit="1" customWidth="1"/>
    <col min="2" max="2" width="19.140625" customWidth="1"/>
    <col min="3" max="3" width="10.42578125" bestFit="1" customWidth="1"/>
    <col min="4" max="4" width="12.42578125" customWidth="1"/>
    <col min="5" max="5" width="10.42578125" bestFit="1" customWidth="1"/>
    <col min="6" max="6" width="11.42578125" customWidth="1"/>
    <col min="7" max="7" width="10.5703125" customWidth="1"/>
    <col min="8" max="9" width="11.85546875" customWidth="1"/>
    <col min="13" max="13" width="11.5703125" customWidth="1"/>
    <col min="14" max="14" width="18.5703125" customWidth="1"/>
    <col min="15" max="15" width="10.42578125" customWidth="1"/>
    <col min="16" max="16" width="11" bestFit="1" customWidth="1"/>
    <col min="17" max="17" width="11.7109375" customWidth="1"/>
    <col min="18" max="19" width="11.42578125" customWidth="1"/>
    <col min="20" max="20" width="10.5703125" customWidth="1"/>
    <col min="21" max="21" width="11.140625" customWidth="1"/>
    <col min="23" max="23" width="11" bestFit="1" customWidth="1"/>
    <col min="25" max="25" width="0" hidden="1" customWidth="1"/>
    <col min="26" max="26" width="10.140625" hidden="1" customWidth="1"/>
    <col min="27" max="27" width="15.42578125" hidden="1" customWidth="1"/>
    <col min="28" max="28" width="9.42578125" hidden="1" customWidth="1"/>
    <col min="29" max="29" width="12.28515625" hidden="1" customWidth="1"/>
    <col min="30" max="30" width="10.140625" hidden="1" customWidth="1"/>
    <col min="31" max="31" width="11.7109375" hidden="1" customWidth="1"/>
    <col min="32" max="33" width="11" hidden="1" customWidth="1"/>
    <col min="34" max="34" width="11.140625" hidden="1" customWidth="1"/>
    <col min="35" max="37" width="9.140625" hidden="1" customWidth="1"/>
    <col min="38" max="38" width="10.140625" hidden="1" customWidth="1"/>
    <col min="39" max="39" width="11.5703125" hidden="1" customWidth="1"/>
    <col min="40" max="40" width="11" hidden="1" customWidth="1"/>
    <col min="41" max="41" width="11.5703125" hidden="1" customWidth="1"/>
    <col min="42" max="42" width="13.5703125" hidden="1" customWidth="1"/>
    <col min="43" max="43" width="11.42578125" hidden="1" customWidth="1"/>
    <col min="44" max="44" width="9.42578125" hidden="1" customWidth="1"/>
    <col min="45" max="45" width="10.85546875" hidden="1" customWidth="1"/>
    <col min="46" max="46" width="12.85546875" hidden="1" customWidth="1"/>
    <col min="47" max="49" width="9.140625" hidden="1" customWidth="1"/>
    <col min="50" max="50" width="0" hidden="1" customWidth="1"/>
  </cols>
  <sheetData>
    <row r="1" spans="1:46" x14ac:dyDescent="0.25"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W1" s="60"/>
      <c r="X1" s="60"/>
      <c r="Y1" s="60"/>
      <c r="Z1" s="60"/>
      <c r="AA1" s="60"/>
    </row>
    <row r="2" spans="1:46" x14ac:dyDescent="0.25">
      <c r="B2" s="8" t="s">
        <v>0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W2" s="60"/>
      <c r="X2" s="60"/>
      <c r="Y2" s="60"/>
      <c r="Z2" s="60"/>
      <c r="AA2" s="60"/>
    </row>
    <row r="3" spans="1:46" x14ac:dyDescent="0.25">
      <c r="B3" t="s">
        <v>1</v>
      </c>
      <c r="D3" s="2">
        <v>9000</v>
      </c>
      <c r="H3" s="60"/>
      <c r="I3" s="84"/>
      <c r="J3" s="60"/>
      <c r="K3" s="60"/>
      <c r="L3" s="60"/>
      <c r="M3" s="60"/>
      <c r="N3" s="60"/>
      <c r="O3" s="60"/>
      <c r="P3" s="60"/>
      <c r="Q3" s="60"/>
      <c r="R3" s="60"/>
      <c r="W3" s="60"/>
      <c r="X3" s="60"/>
      <c r="Y3" s="60"/>
      <c r="Z3" s="60"/>
      <c r="AA3" s="60"/>
    </row>
    <row r="4" spans="1:46" ht="28.5" customHeight="1" x14ac:dyDescent="0.25">
      <c r="B4" s="23" t="s">
        <v>83</v>
      </c>
      <c r="D4" s="91">
        <v>9.9000000000000008E-3</v>
      </c>
      <c r="E4" s="91">
        <f>ROUND(D4*0.95,4)</f>
        <v>9.4000000000000004E-3</v>
      </c>
      <c r="H4" s="60"/>
      <c r="I4" s="85"/>
      <c r="J4" s="60"/>
      <c r="K4" s="60"/>
      <c r="L4" s="60"/>
      <c r="M4" s="60"/>
      <c r="N4" s="60"/>
      <c r="O4" s="60"/>
      <c r="P4" s="60"/>
      <c r="Q4" s="60"/>
      <c r="R4" s="60"/>
      <c r="W4" s="60"/>
      <c r="X4" s="60"/>
      <c r="Y4" s="60"/>
      <c r="Z4" s="60"/>
      <c r="AA4" s="60"/>
    </row>
    <row r="5" spans="1:46" x14ac:dyDescent="0.25">
      <c r="B5" t="s">
        <v>3</v>
      </c>
      <c r="D5">
        <v>4</v>
      </c>
      <c r="H5" s="60"/>
      <c r="I5" s="85"/>
      <c r="J5" s="60"/>
      <c r="K5" s="60"/>
      <c r="L5" s="60"/>
      <c r="M5" s="60"/>
      <c r="N5" s="60"/>
      <c r="O5" s="60"/>
      <c r="P5" s="60"/>
      <c r="Q5" s="60"/>
      <c r="R5" s="60"/>
      <c r="W5" s="60"/>
      <c r="X5" s="60"/>
      <c r="Y5" s="60"/>
      <c r="Z5" s="18"/>
      <c r="AA5" s="18"/>
      <c r="AB5" s="18"/>
    </row>
    <row r="6" spans="1:46" x14ac:dyDescent="0.25">
      <c r="B6" t="s">
        <v>4</v>
      </c>
      <c r="D6">
        <v>14</v>
      </c>
      <c r="E6">
        <f>D6*D5</f>
        <v>56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W6" s="60"/>
      <c r="X6" s="60"/>
      <c r="Y6" s="60"/>
      <c r="Z6" s="86"/>
      <c r="AA6" s="60"/>
      <c r="AB6" s="3"/>
    </row>
    <row r="9" spans="1:46" x14ac:dyDescent="0.25">
      <c r="B9" t="s">
        <v>5</v>
      </c>
    </row>
    <row r="10" spans="1:46" x14ac:dyDescent="0.25">
      <c r="B10" t="s">
        <v>6</v>
      </c>
      <c r="C10" s="4">
        <f>D6*D4</f>
        <v>0.1386</v>
      </c>
    </row>
    <row r="11" spans="1:46" x14ac:dyDescent="0.25">
      <c r="B11" t="s">
        <v>7</v>
      </c>
      <c r="C11" s="4">
        <f>C10*(1+C10)^$D$5/((1+C10)^$D$5-1)</f>
        <v>0.34222027314363579</v>
      </c>
      <c r="D11" s="4"/>
      <c r="E11" s="4"/>
      <c r="F11" s="3"/>
    </row>
    <row r="12" spans="1:46" x14ac:dyDescent="0.25">
      <c r="B12" t="s">
        <v>8</v>
      </c>
      <c r="C12" s="50">
        <f>ROUND($C$11*D3,2)</f>
        <v>3079.98</v>
      </c>
      <c r="D12" s="5"/>
    </row>
    <row r="13" spans="1:46" x14ac:dyDescent="0.25">
      <c r="B13" t="s">
        <v>9</v>
      </c>
      <c r="D13" s="62"/>
    </row>
    <row r="14" spans="1:46" ht="16.5" thickBot="1" x14ac:dyDescent="0.3">
      <c r="D14" s="1" t="s">
        <v>78</v>
      </c>
      <c r="E14" s="8"/>
      <c r="F14" s="8"/>
      <c r="P14" s="1" t="s">
        <v>78</v>
      </c>
      <c r="Q14" s="8"/>
      <c r="R14" s="8"/>
      <c r="AC14" s="1" t="s">
        <v>78</v>
      </c>
      <c r="AD14" s="8"/>
      <c r="AE14" s="8"/>
      <c r="AO14" s="1" t="s">
        <v>78</v>
      </c>
      <c r="AP14" s="8"/>
      <c r="AQ14" s="8"/>
    </row>
    <row r="15" spans="1:46" ht="45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M15" t="s">
        <v>77</v>
      </c>
      <c r="N15" t="s">
        <v>76</v>
      </c>
      <c r="O15" s="9" t="s">
        <v>15</v>
      </c>
      <c r="P15" s="10" t="s">
        <v>16</v>
      </c>
      <c r="Q15" s="10" t="s">
        <v>17</v>
      </c>
      <c r="R15" s="10" t="s">
        <v>18</v>
      </c>
      <c r="S15" s="11" t="s">
        <v>19</v>
      </c>
      <c r="T15" s="24" t="s">
        <v>41</v>
      </c>
      <c r="U15" s="25" t="s">
        <v>42</v>
      </c>
      <c r="Z15" t="s">
        <v>77</v>
      </c>
      <c r="AA15" t="s">
        <v>76</v>
      </c>
      <c r="AB15" s="9" t="s">
        <v>15</v>
      </c>
      <c r="AC15" s="10" t="s">
        <v>16</v>
      </c>
      <c r="AD15" s="10" t="s">
        <v>17</v>
      </c>
      <c r="AE15" s="10" t="s">
        <v>18</v>
      </c>
      <c r="AF15" s="11" t="s">
        <v>19</v>
      </c>
      <c r="AG15" s="24" t="s">
        <v>41</v>
      </c>
      <c r="AH15" s="25" t="s">
        <v>42</v>
      </c>
      <c r="AL15" t="s">
        <v>77</v>
      </c>
      <c r="AM15" t="s">
        <v>76</v>
      </c>
      <c r="AN15" s="9" t="s">
        <v>15</v>
      </c>
      <c r="AO15" s="10" t="s">
        <v>16</v>
      </c>
      <c r="AP15" s="10" t="s">
        <v>17</v>
      </c>
      <c r="AQ15" s="10" t="s">
        <v>18</v>
      </c>
      <c r="AR15" s="11" t="s">
        <v>19</v>
      </c>
      <c r="AS15" s="24" t="s">
        <v>41</v>
      </c>
      <c r="AT15" s="25" t="s">
        <v>42</v>
      </c>
    </row>
    <row r="16" spans="1:46" x14ac:dyDescent="0.25">
      <c r="A16" s="59">
        <v>44704</v>
      </c>
      <c r="B16">
        <v>0</v>
      </c>
      <c r="C16" s="39">
        <v>0</v>
      </c>
      <c r="E16" s="40"/>
      <c r="F16" s="40"/>
      <c r="G16" s="41"/>
      <c r="H16" s="42"/>
      <c r="I16" s="43"/>
      <c r="M16" s="59">
        <v>44704</v>
      </c>
      <c r="N16">
        <v>0</v>
      </c>
      <c r="O16" s="39">
        <v>0</v>
      </c>
      <c r="Q16" s="40"/>
      <c r="R16" s="40"/>
      <c r="S16" s="41"/>
      <c r="T16" s="42"/>
      <c r="U16" s="43"/>
      <c r="Z16" s="59">
        <v>44704</v>
      </c>
      <c r="AA16">
        <v>0</v>
      </c>
      <c r="AB16" s="39">
        <v>0</v>
      </c>
      <c r="AD16" s="40"/>
      <c r="AE16" s="40"/>
      <c r="AF16" s="41"/>
      <c r="AG16" s="42"/>
      <c r="AH16" s="43"/>
      <c r="AL16" s="59">
        <v>44704</v>
      </c>
      <c r="AM16">
        <v>0</v>
      </c>
      <c r="AN16" s="39">
        <v>0</v>
      </c>
      <c r="AP16" s="40"/>
      <c r="AQ16" s="40"/>
      <c r="AR16" s="41"/>
      <c r="AS16" s="42"/>
      <c r="AT16" s="43"/>
    </row>
    <row r="17" spans="1:48" x14ac:dyDescent="0.25">
      <c r="A17" s="59">
        <f>A16+B17-B16</f>
        <v>44718</v>
      </c>
      <c r="B17">
        <f>B16+$D$6</f>
        <v>14</v>
      </c>
      <c r="C17" s="39">
        <v>1</v>
      </c>
      <c r="D17" s="40">
        <f>D3</f>
        <v>9000</v>
      </c>
      <c r="E17" s="40">
        <f>$C$12</f>
        <v>3079.98</v>
      </c>
      <c r="F17" s="40">
        <f>ROUND(D17*$D$4,2)*$D$6</f>
        <v>1247.3999999999999</v>
      </c>
      <c r="G17" s="41">
        <f>E17-F17</f>
        <v>1832.5800000000002</v>
      </c>
      <c r="H17" s="92">
        <f>ROUND(D17*$E$4,2)*$D$6</f>
        <v>1184.3999999999999</v>
      </c>
      <c r="I17" s="45">
        <f>G17+H17</f>
        <v>3016.98</v>
      </c>
      <c r="M17" s="59">
        <v>44718</v>
      </c>
      <c r="N17">
        <v>14</v>
      </c>
      <c r="O17" s="39">
        <v>1</v>
      </c>
      <c r="P17" s="40">
        <v>9000</v>
      </c>
      <c r="Q17" s="40">
        <v>3079.98</v>
      </c>
      <c r="R17" s="40">
        <v>1247.3999999999999</v>
      </c>
      <c r="S17" s="41">
        <v>1832.5800000000002</v>
      </c>
      <c r="T17" s="92">
        <v>1184.3999999999999</v>
      </c>
      <c r="U17" s="45">
        <v>3016.98</v>
      </c>
      <c r="Z17" s="59">
        <f>Z16+AA17-AA16</f>
        <v>44718</v>
      </c>
      <c r="AA17">
        <f>AA16+$D$6</f>
        <v>14</v>
      </c>
      <c r="AB17" s="39">
        <v>1</v>
      </c>
      <c r="AC17" s="40">
        <v>9000</v>
      </c>
      <c r="AD17" s="40">
        <v>3079.98</v>
      </c>
      <c r="AE17" s="40">
        <v>1247.3999999999999</v>
      </c>
      <c r="AF17" s="41">
        <v>1832.5800000000002</v>
      </c>
      <c r="AG17" s="92">
        <v>1184.3999999999999</v>
      </c>
      <c r="AH17" s="45">
        <v>3016.98</v>
      </c>
      <c r="AL17" s="59">
        <f>AL16+AM17-AM16</f>
        <v>44718</v>
      </c>
      <c r="AM17">
        <f>AM16+$D$6</f>
        <v>14</v>
      </c>
      <c r="AN17" s="39">
        <v>1</v>
      </c>
      <c r="AO17" s="40">
        <v>9000</v>
      </c>
      <c r="AP17" s="40">
        <v>3079.98</v>
      </c>
      <c r="AQ17" s="40">
        <v>1247.3999999999999</v>
      </c>
      <c r="AR17" s="41">
        <v>1832.5800000000002</v>
      </c>
      <c r="AS17" s="92">
        <v>1184.3999999999999</v>
      </c>
      <c r="AT17" s="45">
        <v>3016.98</v>
      </c>
    </row>
    <row r="18" spans="1:48" x14ac:dyDescent="0.25">
      <c r="A18" s="59">
        <f>A17+B18-B17</f>
        <v>44732</v>
      </c>
      <c r="B18">
        <f>B17+$D$6</f>
        <v>28</v>
      </c>
      <c r="C18" s="39">
        <v>2</v>
      </c>
      <c r="D18" s="40">
        <f>D17-G17</f>
        <v>7167.42</v>
      </c>
      <c r="E18" s="40">
        <f>$C$12</f>
        <v>3079.98</v>
      </c>
      <c r="F18" s="40">
        <f>ROUND(D18*$D$4,2)*$D$6</f>
        <v>993.43999999999994</v>
      </c>
      <c r="G18" s="41">
        <f>E18-F18</f>
        <v>2086.54</v>
      </c>
      <c r="H18" s="92">
        <f>ROUND(D18*$E$4,2)*$D$6</f>
        <v>943.18000000000006</v>
      </c>
      <c r="I18" s="45">
        <f>G18+H18</f>
        <v>3029.7200000000003</v>
      </c>
      <c r="M18" s="59">
        <v>44732</v>
      </c>
      <c r="N18">
        <v>28</v>
      </c>
      <c r="O18" s="39">
        <v>2</v>
      </c>
      <c r="P18" s="40">
        <v>7167.42</v>
      </c>
      <c r="Q18" s="40">
        <v>3079.98</v>
      </c>
      <c r="R18" s="40">
        <v>993.43999999999994</v>
      </c>
      <c r="S18" s="41">
        <v>2086.54</v>
      </c>
      <c r="T18" s="92">
        <v>943.18000000000006</v>
      </c>
      <c r="U18" s="45">
        <v>3029.7200000000003</v>
      </c>
      <c r="Z18" s="59">
        <f>Z17+AA18-AA17</f>
        <v>44732</v>
      </c>
      <c r="AA18">
        <f>AA17+$D$6</f>
        <v>28</v>
      </c>
      <c r="AB18" s="39">
        <v>2</v>
      </c>
      <c r="AC18" s="40">
        <v>7167.42</v>
      </c>
      <c r="AD18" s="40">
        <v>3079.98</v>
      </c>
      <c r="AE18" s="40">
        <v>993.43999999999994</v>
      </c>
      <c r="AF18" s="41">
        <v>2086.54</v>
      </c>
      <c r="AG18" s="92">
        <v>943.18000000000006</v>
      </c>
      <c r="AH18" s="45">
        <v>3029.7200000000003</v>
      </c>
      <c r="AL18" s="59">
        <f>AL17+AM18-AM17</f>
        <v>44732</v>
      </c>
      <c r="AM18">
        <f>AM17+$D$6</f>
        <v>28</v>
      </c>
      <c r="AN18" s="39">
        <v>2</v>
      </c>
      <c r="AO18" s="40">
        <v>7167.42</v>
      </c>
      <c r="AP18" s="40">
        <v>3079.98</v>
      </c>
      <c r="AQ18" s="40">
        <v>993.43999999999994</v>
      </c>
      <c r="AR18" s="41">
        <v>2086.54</v>
      </c>
      <c r="AS18" s="92">
        <v>943.18000000000006</v>
      </c>
      <c r="AT18" s="45">
        <v>3029.7200000000003</v>
      </c>
    </row>
    <row r="19" spans="1:48" x14ac:dyDescent="0.25">
      <c r="A19" s="59">
        <f>A18+B19-B18</f>
        <v>44746</v>
      </c>
      <c r="B19">
        <f>B18+$D$6</f>
        <v>42</v>
      </c>
      <c r="C19" s="39">
        <v>3</v>
      </c>
      <c r="D19" s="40">
        <f>D18-G18</f>
        <v>5080.88</v>
      </c>
      <c r="E19" s="40">
        <f>$C$12</f>
        <v>3079.98</v>
      </c>
      <c r="F19" s="40">
        <f>ROUND(D19*$D$4,2)*$D$6</f>
        <v>704.19999999999993</v>
      </c>
      <c r="G19" s="41">
        <f>E19-F19</f>
        <v>2375.7800000000002</v>
      </c>
      <c r="H19" s="92">
        <f>ROUND(D19*$E$4,2)*$D$6</f>
        <v>668.64</v>
      </c>
      <c r="I19" s="45">
        <f>G19+H19</f>
        <v>3044.42</v>
      </c>
      <c r="M19" s="59">
        <v>44746</v>
      </c>
      <c r="N19">
        <v>42</v>
      </c>
      <c r="O19" s="39">
        <v>3</v>
      </c>
      <c r="P19" s="40">
        <v>5080.88</v>
      </c>
      <c r="Q19" s="40">
        <v>3079.98</v>
      </c>
      <c r="R19" s="40">
        <v>704.19999999999993</v>
      </c>
      <c r="S19" s="41">
        <v>2375.7800000000002</v>
      </c>
      <c r="T19" s="92">
        <v>668.64</v>
      </c>
      <c r="U19" s="45">
        <v>3044.42</v>
      </c>
      <c r="Z19" s="59">
        <f>Z18+AA19-AA18</f>
        <v>44746</v>
      </c>
      <c r="AA19">
        <f>AA18+$D$6</f>
        <v>42</v>
      </c>
      <c r="AB19" s="39">
        <v>3</v>
      </c>
      <c r="AC19" s="40">
        <v>5080.88</v>
      </c>
      <c r="AD19" s="40">
        <v>3079.98</v>
      </c>
      <c r="AE19" s="40">
        <v>704.19999999999993</v>
      </c>
      <c r="AF19" s="41">
        <v>2375.7800000000002</v>
      </c>
      <c r="AG19" s="92">
        <v>668.64</v>
      </c>
      <c r="AH19" s="45">
        <v>3044.42</v>
      </c>
      <c r="AL19" s="59">
        <f>AL18+AM19-AM18</f>
        <v>44746</v>
      </c>
      <c r="AM19">
        <f>AM18+$D$6</f>
        <v>42</v>
      </c>
      <c r="AN19" s="39">
        <v>3</v>
      </c>
      <c r="AO19" s="40">
        <v>5080.88</v>
      </c>
      <c r="AP19" s="40">
        <v>3079.98</v>
      </c>
      <c r="AQ19" s="40">
        <v>704.19999999999993</v>
      </c>
      <c r="AR19" s="41">
        <v>2375.7800000000002</v>
      </c>
      <c r="AS19" s="92">
        <v>668.64</v>
      </c>
      <c r="AT19" s="45">
        <v>3044.42</v>
      </c>
    </row>
    <row r="20" spans="1:48" x14ac:dyDescent="0.25">
      <c r="A20" s="59">
        <f>A19+B20-B19</f>
        <v>44760</v>
      </c>
      <c r="B20">
        <f>B19+$D$6</f>
        <v>56</v>
      </c>
      <c r="C20" s="39">
        <v>4</v>
      </c>
      <c r="D20" s="40">
        <f>D19-G19</f>
        <v>2705.1</v>
      </c>
      <c r="E20" s="40">
        <f>$D$3-SUM(G15:G19)+F20</f>
        <v>3080.0200000000004</v>
      </c>
      <c r="F20" s="40">
        <f>ROUND(D20*$D$4,2)*$D$6</f>
        <v>374.92</v>
      </c>
      <c r="G20" s="41">
        <f>E20-F20</f>
        <v>2705.1000000000004</v>
      </c>
      <c r="H20" s="92">
        <f>ROUND(D20*$E$4,2)*$D$6</f>
        <v>356.02</v>
      </c>
      <c r="I20" s="45">
        <f>G20+H20</f>
        <v>3061.1200000000003</v>
      </c>
      <c r="M20" s="59">
        <v>44760</v>
      </c>
      <c r="N20">
        <v>56</v>
      </c>
      <c r="O20" s="39">
        <v>4</v>
      </c>
      <c r="P20" s="40">
        <v>2705.1</v>
      </c>
      <c r="Q20" s="40">
        <v>3080.0200000000004</v>
      </c>
      <c r="R20" s="40">
        <v>374.92</v>
      </c>
      <c r="S20" s="41">
        <v>2705.1000000000004</v>
      </c>
      <c r="T20" s="92">
        <v>356.02</v>
      </c>
      <c r="U20" s="45">
        <v>3061.1200000000003</v>
      </c>
      <c r="Z20" s="59">
        <f>Z19+AA20-AA19</f>
        <v>44760</v>
      </c>
      <c r="AA20">
        <f>AA19+$D$6</f>
        <v>56</v>
      </c>
      <c r="AB20" s="39">
        <v>4</v>
      </c>
      <c r="AC20" s="40">
        <v>2705.1</v>
      </c>
      <c r="AD20" s="40">
        <v>3080.0200000000004</v>
      </c>
      <c r="AE20" s="40">
        <v>374.92</v>
      </c>
      <c r="AF20" s="41">
        <v>2705.1000000000004</v>
      </c>
      <c r="AG20" s="92">
        <v>356.02</v>
      </c>
      <c r="AH20" s="45">
        <v>3061.1200000000003</v>
      </c>
      <c r="AL20" s="59">
        <f>AL19+AM20-AM19</f>
        <v>44760</v>
      </c>
      <c r="AM20">
        <f>AM19+$D$6</f>
        <v>56</v>
      </c>
      <c r="AN20" s="39">
        <v>4</v>
      </c>
      <c r="AO20" s="40">
        <v>2705.1</v>
      </c>
      <c r="AP20" s="40">
        <v>3080.0200000000004</v>
      </c>
      <c r="AQ20" s="40">
        <v>374.92</v>
      </c>
      <c r="AR20" s="41">
        <v>2705.1000000000004</v>
      </c>
      <c r="AS20" s="92">
        <v>356.02</v>
      </c>
      <c r="AT20" s="45">
        <v>3061.1200000000003</v>
      </c>
    </row>
    <row r="21" spans="1:48" ht="15.75" thickBot="1" x14ac:dyDescent="0.3">
      <c r="C21" s="136" t="s">
        <v>20</v>
      </c>
      <c r="D21" s="137"/>
      <c r="E21" s="93">
        <f>SUM(E16:E20)</f>
        <v>12319.960000000001</v>
      </c>
      <c r="F21" s="93">
        <f>SUM(F16:F20)</f>
        <v>3319.9599999999996</v>
      </c>
      <c r="G21" s="47">
        <f>SUM(G16:G20)</f>
        <v>9000</v>
      </c>
      <c r="H21" s="48">
        <f>SUM(H17:H20)</f>
        <v>3152.24</v>
      </c>
      <c r="I21" s="49">
        <f>G21+H21</f>
        <v>12152.24</v>
      </c>
      <c r="O21" s="136" t="s">
        <v>20</v>
      </c>
      <c r="P21" s="137"/>
      <c r="Q21" s="97">
        <f>SUM(Q16:Q20)</f>
        <v>12319.960000000001</v>
      </c>
      <c r="R21" s="97">
        <f>SUM(R16:R20)</f>
        <v>3319.9599999999996</v>
      </c>
      <c r="S21" s="47">
        <f>SUM(S16:S20)</f>
        <v>9000</v>
      </c>
      <c r="T21" s="48">
        <f>SUM(T17:T20)</f>
        <v>3152.24</v>
      </c>
      <c r="U21" s="49">
        <f>S21+T21</f>
        <v>12152.24</v>
      </c>
      <c r="Z21" s="59"/>
      <c r="AB21" s="136" t="s">
        <v>20</v>
      </c>
      <c r="AC21" s="137"/>
      <c r="AD21" s="93">
        <f>SUM(AD16:AD20)</f>
        <v>12319.960000000001</v>
      </c>
      <c r="AE21" s="93">
        <f>SUM(AE16:AE20)</f>
        <v>3319.9599999999996</v>
      </c>
      <c r="AF21" s="47">
        <f>SUM(AF16:AF20)</f>
        <v>9000</v>
      </c>
      <c r="AG21" s="48">
        <f>SUM(AG17:AG20)</f>
        <v>3152.24</v>
      </c>
      <c r="AH21" s="49">
        <f>AF21+AG21</f>
        <v>12152.24</v>
      </c>
      <c r="AL21" s="59"/>
      <c r="AN21" s="136" t="s">
        <v>20</v>
      </c>
      <c r="AO21" s="137"/>
      <c r="AP21" s="93">
        <f>SUM(AP16:AP20)</f>
        <v>12319.960000000001</v>
      </c>
      <c r="AQ21" s="93">
        <f>SUM(AQ16:AQ20)</f>
        <v>3319.9599999999996</v>
      </c>
      <c r="AR21" s="47">
        <f>SUM(AR16:AR20)</f>
        <v>9000</v>
      </c>
      <c r="AS21" s="48">
        <f>SUM(AS17:AS20)</f>
        <v>3152.24</v>
      </c>
      <c r="AT21" s="49">
        <f>AR21+AS21</f>
        <v>12152.24</v>
      </c>
    </row>
    <row r="22" spans="1:48" x14ac:dyDescent="0.25">
      <c r="E22" s="28">
        <f>E21/G21</f>
        <v>1.3688844444444446</v>
      </c>
      <c r="I22" s="29">
        <f>I21/G21</f>
        <v>1.3502488888888888</v>
      </c>
      <c r="Q22" s="28">
        <f>Q21/S21</f>
        <v>1.3688844444444446</v>
      </c>
      <c r="U22" s="29">
        <f>U21/S21</f>
        <v>1.3502488888888888</v>
      </c>
      <c r="Z22" s="59"/>
      <c r="AD22" s="28">
        <f>AD21/AF21</f>
        <v>1.3688844444444446</v>
      </c>
      <c r="AH22" s="29">
        <f>AH21/AF21</f>
        <v>1.3502488888888888</v>
      </c>
      <c r="AL22" s="59"/>
      <c r="AP22" s="28">
        <f>AP21/AR21</f>
        <v>1.3688844444444446</v>
      </c>
      <c r="AT22" s="29">
        <f>AT21/AR21</f>
        <v>1.3502488888888888</v>
      </c>
    </row>
    <row r="24" spans="1:48" ht="15.75" thickBot="1" x14ac:dyDescent="0.3"/>
    <row r="25" spans="1:48" ht="105" x14ac:dyDescent="0.25">
      <c r="B25" s="63" t="s">
        <v>43</v>
      </c>
      <c r="C25" s="9" t="s">
        <v>45</v>
      </c>
      <c r="D25" s="10" t="s">
        <v>65</v>
      </c>
      <c r="E25" s="10" t="s">
        <v>46</v>
      </c>
      <c r="F25" s="10" t="s">
        <v>47</v>
      </c>
      <c r="G25" s="10" t="s">
        <v>48</v>
      </c>
      <c r="H25" s="10" t="s">
        <v>69</v>
      </c>
      <c r="I25" s="11" t="s">
        <v>75</v>
      </c>
      <c r="N25" s="67" t="s">
        <v>74</v>
      </c>
      <c r="O25" s="9" t="s">
        <v>45</v>
      </c>
      <c r="P25" s="10" t="s">
        <v>65</v>
      </c>
      <c r="Q25" s="10" t="s">
        <v>46</v>
      </c>
      <c r="R25" s="10" t="s">
        <v>47</v>
      </c>
      <c r="S25" s="10" t="s">
        <v>48</v>
      </c>
      <c r="T25" s="10" t="s">
        <v>69</v>
      </c>
      <c r="U25" s="11" t="s">
        <v>49</v>
      </c>
      <c r="AA25" s="67" t="s">
        <v>74</v>
      </c>
      <c r="AB25" s="9" t="s">
        <v>45</v>
      </c>
      <c r="AC25" s="10" t="s">
        <v>65</v>
      </c>
      <c r="AD25" s="10" t="s">
        <v>46</v>
      </c>
      <c r="AE25" s="10" t="s">
        <v>47</v>
      </c>
      <c r="AF25" s="10" t="s">
        <v>48</v>
      </c>
      <c r="AG25" s="10" t="s">
        <v>69</v>
      </c>
      <c r="AH25" s="11" t="s">
        <v>49</v>
      </c>
      <c r="AM25" s="67" t="s">
        <v>74</v>
      </c>
      <c r="AN25" s="9" t="s">
        <v>45</v>
      </c>
      <c r="AO25" s="10" t="s">
        <v>65</v>
      </c>
      <c r="AP25" s="10" t="s">
        <v>46</v>
      </c>
      <c r="AQ25" s="10" t="s">
        <v>47</v>
      </c>
      <c r="AR25" s="10" t="s">
        <v>48</v>
      </c>
      <c r="AS25" s="10" t="s">
        <v>69</v>
      </c>
      <c r="AT25" s="11" t="s">
        <v>49</v>
      </c>
    </row>
    <row r="26" spans="1:48" ht="15.75" thickBot="1" x14ac:dyDescent="0.3">
      <c r="C26" s="56">
        <f>D17</f>
        <v>9000</v>
      </c>
      <c r="D26" s="57">
        <f>F17+G17</f>
        <v>3079.98</v>
      </c>
      <c r="E26" s="57">
        <f>ROUND(C26*$D$4,2)*10</f>
        <v>891</v>
      </c>
      <c r="F26" s="57">
        <f>G17</f>
        <v>1832.5800000000002</v>
      </c>
      <c r="G26" s="44">
        <f>ROUND(C26*$E$4,2)*10</f>
        <v>846</v>
      </c>
      <c r="H26" s="57">
        <f>C26+G26</f>
        <v>9846</v>
      </c>
      <c r="I26" s="30">
        <f>C26+E26</f>
        <v>9891</v>
      </c>
      <c r="N26" s="78" t="s">
        <v>79</v>
      </c>
      <c r="O26" s="56">
        <f>P18</f>
        <v>7167.42</v>
      </c>
      <c r="P26" s="57">
        <f>Q18</f>
        <v>3079.98</v>
      </c>
      <c r="Q26" s="57">
        <f>ROUND(O26*$D$4,2)*(N35-N34)</f>
        <v>425.76</v>
      </c>
      <c r="R26" s="57">
        <f>S18</f>
        <v>2086.54</v>
      </c>
      <c r="S26" s="44">
        <f>ROUND(O26*$D$4,2)*(N35-N34)</f>
        <v>425.76</v>
      </c>
      <c r="T26" s="57">
        <f>O26+S26</f>
        <v>7593.18</v>
      </c>
      <c r="U26" s="30">
        <f>O26+Q26</f>
        <v>7593.18</v>
      </c>
      <c r="AB26" s="56">
        <f>AC18</f>
        <v>7167.42</v>
      </c>
      <c r="AC26" s="57">
        <f>AD18</f>
        <v>3079.98</v>
      </c>
      <c r="AD26" s="57">
        <f>ROUND(AB26*$D$4,2)*(AA35-AA34)</f>
        <v>425.76</v>
      </c>
      <c r="AE26" s="57">
        <f>AF18</f>
        <v>2086.54</v>
      </c>
      <c r="AF26" s="44">
        <f>ROUND(AB26*$D$4,2)*(AA35-AA34)</f>
        <v>425.76</v>
      </c>
      <c r="AG26" s="57">
        <f>AB26+AF26</f>
        <v>7593.18</v>
      </c>
      <c r="AH26" s="30">
        <f>AB26+AD26</f>
        <v>7593.18</v>
      </c>
      <c r="AM26" s="78" t="s">
        <v>79</v>
      </c>
      <c r="AN26" s="56">
        <f>AO18</f>
        <v>7167.42</v>
      </c>
      <c r="AO26" s="57">
        <f>AP18</f>
        <v>3079.98</v>
      </c>
      <c r="AP26" s="57">
        <f>ROUND(AN26*$D$4,2)*(AM35-AM34)</f>
        <v>425.76</v>
      </c>
      <c r="AQ26" s="57">
        <f>AR18</f>
        <v>2086.54</v>
      </c>
      <c r="AR26" s="44">
        <f>ROUND(AN26*$D$4,2)*(AM35-AM34)</f>
        <v>425.76</v>
      </c>
      <c r="AS26" s="57"/>
      <c r="AT26" s="30">
        <f>AN26+AP26</f>
        <v>7593.18</v>
      </c>
    </row>
    <row r="28" spans="1:48" x14ac:dyDescent="0.25">
      <c r="O28" t="s">
        <v>45</v>
      </c>
      <c r="P28" t="s">
        <v>82</v>
      </c>
      <c r="AN28" t="s">
        <v>45</v>
      </c>
      <c r="AO28" t="s">
        <v>82</v>
      </c>
    </row>
    <row r="29" spans="1:48" ht="15.75" thickBot="1" x14ac:dyDescent="0.3">
      <c r="B29" t="s">
        <v>88</v>
      </c>
      <c r="C29" s="106">
        <f>ROUND(D36*0.8%,2)*$D$6</f>
        <v>1008</v>
      </c>
      <c r="N29" s="77" t="s">
        <v>80</v>
      </c>
      <c r="O29" s="56">
        <f>S34</f>
        <v>1832.5800000000002</v>
      </c>
      <c r="P29" s="57">
        <f>R34+ROUND(O29*$D$4,2)*(N35-N34)</f>
        <v>1356.2399999999998</v>
      </c>
      <c r="Q29" s="79">
        <f>O29+P29</f>
        <v>3188.8199999999997</v>
      </c>
      <c r="R29" t="s">
        <v>88</v>
      </c>
      <c r="T29" s="106">
        <f>P29+Q26</f>
        <v>1781.9999999999998</v>
      </c>
      <c r="AM29" s="77" t="s">
        <v>80</v>
      </c>
      <c r="AN29" s="56">
        <f>AR34</f>
        <v>1832.5800000000002</v>
      </c>
      <c r="AO29" s="57">
        <f>AQ34+ROUND(AN29*$D$4,2)*(AM35-AM34)</f>
        <v>1356.2399999999998</v>
      </c>
      <c r="AP29" s="79">
        <f>AN29+AO29</f>
        <v>3188.8199999999997</v>
      </c>
    </row>
    <row r="31" spans="1:48" ht="45.75" thickBot="1" x14ac:dyDescent="0.3">
      <c r="B31" t="s">
        <v>90</v>
      </c>
      <c r="C31" s="106">
        <v>0</v>
      </c>
      <c r="D31" s="105">
        <f>3016.98</f>
        <v>3016.98</v>
      </c>
      <c r="K31" s="23" t="s">
        <v>84</v>
      </c>
      <c r="L31" s="23"/>
      <c r="N31" t="s">
        <v>70</v>
      </c>
      <c r="O31" s="80">
        <f>Q31-T29</f>
        <v>218.00000000000023</v>
      </c>
      <c r="P31" t="s">
        <v>81</v>
      </c>
      <c r="Q31" s="81">
        <v>2000</v>
      </c>
      <c r="W31" s="23" t="s">
        <v>84</v>
      </c>
      <c r="X31" s="23"/>
      <c r="AA31" t="s">
        <v>70</v>
      </c>
      <c r="AB31" s="32">
        <v>3000</v>
      </c>
      <c r="AJ31" s="23" t="s">
        <v>84</v>
      </c>
      <c r="AM31" t="s">
        <v>70</v>
      </c>
      <c r="AN31" s="80">
        <f>AP31-AP29</f>
        <v>2811.1800000000003</v>
      </c>
      <c r="AO31" t="s">
        <v>81</v>
      </c>
      <c r="AP31" s="81">
        <v>6000</v>
      </c>
    </row>
    <row r="32" spans="1:48" ht="45" x14ac:dyDescent="0.25">
      <c r="A32" t="s">
        <v>77</v>
      </c>
      <c r="B32" t="s">
        <v>76</v>
      </c>
      <c r="C32" s="9" t="s">
        <v>15</v>
      </c>
      <c r="D32" s="10" t="s">
        <v>71</v>
      </c>
      <c r="E32" s="10" t="s">
        <v>73</v>
      </c>
      <c r="F32" s="10" t="s">
        <v>72</v>
      </c>
      <c r="G32" s="11" t="s">
        <v>19</v>
      </c>
      <c r="H32" s="24" t="s">
        <v>85</v>
      </c>
      <c r="I32" s="25" t="s">
        <v>86</v>
      </c>
      <c r="K32">
        <v>4</v>
      </c>
      <c r="M32" t="s">
        <v>77</v>
      </c>
      <c r="N32" t="s">
        <v>76</v>
      </c>
      <c r="O32" s="9" t="s">
        <v>15</v>
      </c>
      <c r="P32" s="10" t="s">
        <v>71</v>
      </c>
      <c r="Q32" s="10" t="s">
        <v>73</v>
      </c>
      <c r="R32" s="10" t="s">
        <v>72</v>
      </c>
      <c r="S32" s="11" t="s">
        <v>19</v>
      </c>
      <c r="T32" s="24" t="s">
        <v>85</v>
      </c>
      <c r="U32" s="25" t="s">
        <v>86</v>
      </c>
      <c r="W32">
        <v>4</v>
      </c>
      <c r="Z32" t="s">
        <v>77</v>
      </c>
      <c r="AA32" t="s">
        <v>76</v>
      </c>
      <c r="AB32" s="9" t="s">
        <v>15</v>
      </c>
      <c r="AC32" s="10" t="s">
        <v>71</v>
      </c>
      <c r="AD32" s="10" t="s">
        <v>73</v>
      </c>
      <c r="AE32" s="10" t="s">
        <v>72</v>
      </c>
      <c r="AF32" s="11" t="s">
        <v>19</v>
      </c>
      <c r="AG32" s="24" t="s">
        <v>85</v>
      </c>
      <c r="AH32" s="25" t="s">
        <v>86</v>
      </c>
      <c r="AJ32">
        <v>3</v>
      </c>
      <c r="AL32" t="s">
        <v>77</v>
      </c>
      <c r="AM32" t="s">
        <v>76</v>
      </c>
      <c r="AN32" s="9" t="s">
        <v>15</v>
      </c>
      <c r="AO32" s="10" t="s">
        <v>71</v>
      </c>
      <c r="AP32" s="10" t="s">
        <v>73</v>
      </c>
      <c r="AQ32" s="10" t="s">
        <v>72</v>
      </c>
      <c r="AR32" s="11" t="s">
        <v>19</v>
      </c>
      <c r="AS32" s="24" t="s">
        <v>85</v>
      </c>
      <c r="AT32" s="25" t="s">
        <v>86</v>
      </c>
      <c r="AV32">
        <v>3</v>
      </c>
    </row>
    <row r="33" spans="1:48" x14ac:dyDescent="0.25">
      <c r="A33" s="59">
        <v>44704</v>
      </c>
      <c r="B33">
        <v>0</v>
      </c>
      <c r="C33" s="107">
        <v>0</v>
      </c>
      <c r="D33" s="40">
        <f>D17</f>
        <v>9000</v>
      </c>
      <c r="E33" s="40"/>
      <c r="F33" s="40"/>
      <c r="G33" s="41"/>
      <c r="H33" s="42"/>
      <c r="I33" s="43"/>
      <c r="K33">
        <f>C10*(1+C10)^$K$32/((1+C10)^$K$32-1)</f>
        <v>0.34222027314363579</v>
      </c>
      <c r="M33" s="59">
        <v>44704</v>
      </c>
      <c r="N33">
        <v>0</v>
      </c>
      <c r="O33" s="38">
        <v>0</v>
      </c>
      <c r="Q33" s="40"/>
      <c r="R33" s="40"/>
      <c r="T33" s="42"/>
      <c r="U33" s="43"/>
      <c r="W33">
        <f>C10*(1+C10)^$K$32/((1+C10)^$K$32-1)</f>
        <v>0.34222027314363579</v>
      </c>
      <c r="Z33" s="59">
        <v>44704</v>
      </c>
      <c r="AA33">
        <v>0</v>
      </c>
      <c r="AB33" s="38">
        <v>0</v>
      </c>
      <c r="AD33" s="40"/>
      <c r="AE33" s="40"/>
      <c r="AG33" s="42"/>
      <c r="AH33" s="43"/>
      <c r="AJ33">
        <f>C10*(1+C10)^$AJ$32/((1+C10)^$AJ$32-1)</f>
        <v>0.42971997101749293</v>
      </c>
      <c r="AL33" s="59">
        <v>44704</v>
      </c>
      <c r="AM33">
        <v>0</v>
      </c>
      <c r="AN33" s="38">
        <v>0</v>
      </c>
      <c r="AP33" s="40"/>
      <c r="AQ33" s="40"/>
      <c r="AS33" s="42"/>
      <c r="AT33" s="43"/>
      <c r="AV33">
        <f>C10*(1+C10)^$AJ$32/((1+C10)^$AJ$32-1)</f>
        <v>0.42971997101749293</v>
      </c>
    </row>
    <row r="34" spans="1:48" x14ac:dyDescent="0.25">
      <c r="A34" s="59">
        <f>A33+B34-B33</f>
        <v>44714</v>
      </c>
      <c r="B34" s="108">
        <v>10</v>
      </c>
      <c r="C34" s="107">
        <v>0</v>
      </c>
      <c r="E34" s="40"/>
      <c r="F34" s="109">
        <f>IF($C$29-$C$31&gt;0,$C$31,$C$29)</f>
        <v>0</v>
      </c>
      <c r="G34" s="110">
        <f>C31-F34</f>
        <v>0</v>
      </c>
      <c r="H34" s="42"/>
      <c r="I34" s="43"/>
      <c r="J34" s="61"/>
      <c r="K34">
        <f>ROUND($K$33*D37,2)</f>
        <v>2474.4</v>
      </c>
      <c r="M34" s="59">
        <f t="shared" ref="M34:M39" si="0">M33+N34-N33</f>
        <v>44718</v>
      </c>
      <c r="N34">
        <v>14</v>
      </c>
      <c r="O34" s="38">
        <v>1</v>
      </c>
      <c r="P34" s="74">
        <f>P17</f>
        <v>9000</v>
      </c>
      <c r="Q34" s="74">
        <f>R34+S34</f>
        <v>3079.98</v>
      </c>
      <c r="R34" s="74">
        <f>ROUND(P34*$D$4,2)*$D$6</f>
        <v>1247.3999999999999</v>
      </c>
      <c r="S34" s="75">
        <f>S17</f>
        <v>1832.5800000000002</v>
      </c>
      <c r="T34" s="87">
        <f>R34</f>
        <v>1247.3999999999999</v>
      </c>
      <c r="U34" s="88">
        <f>S34+T34</f>
        <v>3079.98</v>
      </c>
      <c r="V34" s="61"/>
      <c r="W34">
        <f>ROUND($K$33*P36,2)</f>
        <v>3005.38</v>
      </c>
      <c r="Z34" s="59">
        <f>Z33+AA34-AA33</f>
        <v>44718</v>
      </c>
      <c r="AA34">
        <v>14</v>
      </c>
      <c r="AB34" s="38">
        <v>1</v>
      </c>
      <c r="AC34" s="40">
        <f>AC17</f>
        <v>9000</v>
      </c>
      <c r="AD34" s="40">
        <f>AE34+AF34</f>
        <v>3079.98</v>
      </c>
      <c r="AE34" s="40">
        <f>ROUND(AC34*$D$4,2)*$D$6</f>
        <v>1247.3999999999999</v>
      </c>
      <c r="AF34" s="41">
        <f>AF17</f>
        <v>1832.5800000000002</v>
      </c>
      <c r="AG34" s="92">
        <f>ROUND(AC34*$E$4,2)*(AA34-AA33)</f>
        <v>1184.3999999999999</v>
      </c>
      <c r="AH34" s="45">
        <f>AF34+AG34</f>
        <v>3016.98</v>
      </c>
      <c r="AJ34">
        <f>ROUND($AJ$33*AC36,2)</f>
        <v>1973.78</v>
      </c>
      <c r="AL34" s="59">
        <f>AL33+AM34-AM33</f>
        <v>44718</v>
      </c>
      <c r="AM34">
        <v>14</v>
      </c>
      <c r="AN34" s="38">
        <v>1</v>
      </c>
      <c r="AO34" s="74">
        <f>AO17</f>
        <v>9000</v>
      </c>
      <c r="AP34" s="74">
        <f>AQ34+AR34</f>
        <v>3079.98</v>
      </c>
      <c r="AQ34" s="74">
        <f>ROUND(AO34*$D$4,2)*$D$6</f>
        <v>1247.3999999999999</v>
      </c>
      <c r="AR34" s="75">
        <f>AR17</f>
        <v>1832.5800000000002</v>
      </c>
      <c r="AS34" s="87">
        <f>AQ34</f>
        <v>1247.3999999999999</v>
      </c>
      <c r="AT34" s="88">
        <f>AR34+AS34</f>
        <v>3079.98</v>
      </c>
      <c r="AV34">
        <f>ROUND($AJ$33*AO36,2)</f>
        <v>2054.92</v>
      </c>
    </row>
    <row r="35" spans="1:48" x14ac:dyDescent="0.25">
      <c r="A35" s="59">
        <f>A34+B35-B34</f>
        <v>44716</v>
      </c>
      <c r="B35" s="32">
        <v>12</v>
      </c>
      <c r="C35" s="107">
        <v>0</v>
      </c>
      <c r="D35" s="40"/>
      <c r="E35" s="40"/>
      <c r="F35" s="51">
        <f>F36-F34</f>
        <v>1247.3999999999999</v>
      </c>
      <c r="G35" s="52">
        <f>D31-F35</f>
        <v>1769.5800000000002</v>
      </c>
      <c r="H35" s="120"/>
      <c r="I35" s="45"/>
      <c r="J35" s="61"/>
      <c r="M35" s="59">
        <f t="shared" si="0"/>
        <v>44724</v>
      </c>
      <c r="N35" s="64">
        <v>20</v>
      </c>
      <c r="O35" s="38"/>
      <c r="R35" s="72">
        <f>Q26</f>
        <v>425.76</v>
      </c>
      <c r="S35" s="72">
        <f>IF(Q31-T29&gt;0,Q31-T29,0)</f>
        <v>218.00000000000023</v>
      </c>
      <c r="T35" s="44"/>
      <c r="U35" s="45"/>
      <c r="V35" s="61"/>
      <c r="Z35" s="59">
        <f>Z34+AA35-AA34</f>
        <v>44724</v>
      </c>
      <c r="AA35" s="64">
        <v>20</v>
      </c>
      <c r="AB35" s="38"/>
      <c r="AE35" s="72">
        <f>IF($AD$26-$AB$31&gt;0,$AB$31,$AD$26)</f>
        <v>425.76</v>
      </c>
      <c r="AF35" s="72">
        <f>AB31-AE35</f>
        <v>2574.2399999999998</v>
      </c>
      <c r="AG35" s="44"/>
      <c r="AH35" s="45"/>
      <c r="AL35" s="59">
        <f>AL34+AM35-AM34</f>
        <v>44724</v>
      </c>
      <c r="AM35" s="64">
        <v>20</v>
      </c>
      <c r="AN35" s="38"/>
      <c r="AQ35" s="72">
        <f>IF($AP$26-$AN$31&gt;0,$AN$31,$AP$26)</f>
        <v>425.76</v>
      </c>
      <c r="AR35" s="72">
        <f>AN31-AQ35</f>
        <v>2385.42</v>
      </c>
      <c r="AS35" s="44"/>
      <c r="AT35" s="45"/>
    </row>
    <row r="36" spans="1:48" x14ac:dyDescent="0.25">
      <c r="A36" s="59">
        <f>A34+B36-B34</f>
        <v>44718</v>
      </c>
      <c r="B36" s="60">
        <f>B33+$D$6</f>
        <v>14</v>
      </c>
      <c r="C36" s="107">
        <v>1</v>
      </c>
      <c r="D36" s="40">
        <f>D33</f>
        <v>9000</v>
      </c>
      <c r="E36" s="40">
        <f>F36</f>
        <v>1247.3999999999999</v>
      </c>
      <c r="F36" s="40">
        <f>ROUND(D36*$D$4,2)*$D$6</f>
        <v>1247.3999999999999</v>
      </c>
      <c r="G36" s="41">
        <v>0</v>
      </c>
      <c r="H36" s="89">
        <f>F36</f>
        <v>1247.3999999999999</v>
      </c>
      <c r="I36" s="45">
        <f>G36+H36</f>
        <v>1247.3999999999999</v>
      </c>
      <c r="J36" s="60"/>
      <c r="M36" s="59">
        <f t="shared" si="0"/>
        <v>44738</v>
      </c>
      <c r="N36">
        <f>N35+$D$6</f>
        <v>34</v>
      </c>
      <c r="O36" s="38">
        <v>2</v>
      </c>
      <c r="P36" s="40">
        <f>P34-S35</f>
        <v>8782</v>
      </c>
      <c r="Q36" s="40">
        <f>$W$34</f>
        <v>3005.38</v>
      </c>
      <c r="R36" s="40">
        <f>ROUND(P36*$D$4,2)*$D$6</f>
        <v>1217.1599999999999</v>
      </c>
      <c r="S36" s="41">
        <f>Q36-R36</f>
        <v>1788.2200000000003</v>
      </c>
      <c r="T36" s="92">
        <f>ROUND(P36*$E$4,2)*(N36-N35)</f>
        <v>1155.7</v>
      </c>
      <c r="U36" s="43">
        <f>S36+T36</f>
        <v>2943.92</v>
      </c>
      <c r="V36" s="60"/>
      <c r="Z36" s="59">
        <f>Z35+AA36-AA35</f>
        <v>44738</v>
      </c>
      <c r="AA36">
        <f>AA35+$D$6</f>
        <v>34</v>
      </c>
      <c r="AB36" s="38">
        <v>2</v>
      </c>
      <c r="AC36" s="40">
        <f>AC34-AF34-AF35</f>
        <v>4593.18</v>
      </c>
      <c r="AD36" s="40">
        <f>AJ34</f>
        <v>1973.78</v>
      </c>
      <c r="AE36" s="40">
        <f>ROUND(AC36*$D$4,2)*$D$6</f>
        <v>636.57999999999993</v>
      </c>
      <c r="AF36" s="41">
        <f>AD36-AE36</f>
        <v>1337.2</v>
      </c>
      <c r="AG36" s="92">
        <f>ROUND(AC36*$E$4,2)*(AA36-AA35)</f>
        <v>604.52</v>
      </c>
      <c r="AH36" s="45">
        <f>AF36+AG36</f>
        <v>1941.72</v>
      </c>
      <c r="AL36" s="59">
        <f>AL35+AM36-AM35</f>
        <v>44738</v>
      </c>
      <c r="AM36">
        <f>AM35+$D$6</f>
        <v>34</v>
      </c>
      <c r="AN36" s="38">
        <v>2</v>
      </c>
      <c r="AO36" s="40">
        <f>AO34-AR34-AR35</f>
        <v>4782</v>
      </c>
      <c r="AP36" s="40">
        <f>AV34</f>
        <v>2054.92</v>
      </c>
      <c r="AQ36" s="40">
        <f>ROUND(AO36*$D$4,2)*$D$6</f>
        <v>662.76</v>
      </c>
      <c r="AR36" s="41">
        <f>AP36-AQ36</f>
        <v>1392.16</v>
      </c>
      <c r="AS36" s="92">
        <f>ROUND(AO36*$E$4,2)*(AM36-AM35)</f>
        <v>629.30000000000007</v>
      </c>
      <c r="AT36" s="43">
        <f>AR36+AS36</f>
        <v>2021.46</v>
      </c>
    </row>
    <row r="37" spans="1:48" x14ac:dyDescent="0.25">
      <c r="A37" s="59">
        <f>A36+B37-B36</f>
        <v>44732</v>
      </c>
      <c r="B37">
        <f>B36+$D$6</f>
        <v>28</v>
      </c>
      <c r="C37" s="107">
        <v>2</v>
      </c>
      <c r="D37" s="40">
        <f>D36-G35</f>
        <v>7230.42</v>
      </c>
      <c r="E37" s="40">
        <f>K34</f>
        <v>2474.4</v>
      </c>
      <c r="F37" s="40">
        <f>ROUND(D37*$D$4,2)*$D$6</f>
        <v>1002.12</v>
      </c>
      <c r="G37" s="41">
        <f>E37-F37</f>
        <v>1472.2800000000002</v>
      </c>
      <c r="H37" s="92">
        <f>ROUND(D37*$E$4,2)*(B37-B36)</f>
        <v>951.57999999999993</v>
      </c>
      <c r="I37" s="45">
        <f>G37+H37</f>
        <v>2423.86</v>
      </c>
      <c r="J37" s="60"/>
      <c r="M37" s="59">
        <f t="shared" si="0"/>
        <v>44752</v>
      </c>
      <c r="N37">
        <f>N36+$D$6</f>
        <v>48</v>
      </c>
      <c r="O37" s="38">
        <v>3</v>
      </c>
      <c r="P37" s="40">
        <f>P36-S36</f>
        <v>6993.78</v>
      </c>
      <c r="Q37" s="40">
        <f>$W$34</f>
        <v>3005.38</v>
      </c>
      <c r="R37" s="40">
        <f>ROUND(P37*$D$4,2)*$D$6</f>
        <v>969.3599999999999</v>
      </c>
      <c r="S37" s="41">
        <f>Q37-R37</f>
        <v>2036.0200000000002</v>
      </c>
      <c r="T37" s="92">
        <f>ROUND(P37*$E$4,2)*(N37-N36)</f>
        <v>920.3599999999999</v>
      </c>
      <c r="U37" s="43">
        <f>S37+T37</f>
        <v>2956.38</v>
      </c>
      <c r="V37" s="60"/>
      <c r="Z37" s="59">
        <f>Z36+AA37-AA36</f>
        <v>44752</v>
      </c>
      <c r="AA37">
        <f>AA36+$D$6</f>
        <v>48</v>
      </c>
      <c r="AB37" s="38">
        <v>3</v>
      </c>
      <c r="AC37" s="40">
        <f>AC36-AF36</f>
        <v>3255.9800000000005</v>
      </c>
      <c r="AD37" s="40">
        <f>AJ34</f>
        <v>1973.78</v>
      </c>
      <c r="AE37" s="40">
        <f>ROUND(AC37*$D$4,2)*$D$6</f>
        <v>451.21999999999997</v>
      </c>
      <c r="AF37" s="41">
        <f>AD37-AE37</f>
        <v>1522.56</v>
      </c>
      <c r="AG37" s="92">
        <f>ROUND(AC37*$E$4,2)*(AA37-AA36)</f>
        <v>428.53999999999996</v>
      </c>
      <c r="AH37" s="45">
        <f>AF37+AG37</f>
        <v>1951.1</v>
      </c>
      <c r="AL37" s="59">
        <f>AL36+AM37-AM36</f>
        <v>44752</v>
      </c>
      <c r="AM37">
        <f>AM36+$D$6</f>
        <v>48</v>
      </c>
      <c r="AN37" s="38">
        <v>3</v>
      </c>
      <c r="AO37" s="40">
        <f>AO36-AR36</f>
        <v>3389.84</v>
      </c>
      <c r="AP37" s="40">
        <f>AV34</f>
        <v>2054.92</v>
      </c>
      <c r="AQ37" s="40">
        <f>ROUND(AO37*$D$4,2)*$D$6</f>
        <v>469.84000000000003</v>
      </c>
      <c r="AR37" s="41">
        <f>AP37-AQ37</f>
        <v>1585.08</v>
      </c>
      <c r="AS37" s="92">
        <f>ROUND(AO37*$E$4,2)*(AM37-AM36)</f>
        <v>446.03999999999996</v>
      </c>
      <c r="AT37" s="43">
        <f>AR37+AS37</f>
        <v>2031.12</v>
      </c>
    </row>
    <row r="38" spans="1:48" x14ac:dyDescent="0.25">
      <c r="A38" s="59">
        <f>A37+B38-B37</f>
        <v>44746</v>
      </c>
      <c r="B38">
        <f>B37+$D$6</f>
        <v>42</v>
      </c>
      <c r="C38" s="107">
        <v>3</v>
      </c>
      <c r="D38" s="40">
        <f>D37-G37</f>
        <v>5758.1399999999994</v>
      </c>
      <c r="E38" s="40">
        <f>K34</f>
        <v>2474.4</v>
      </c>
      <c r="F38" s="40">
        <f>ROUND(D38*$D$4,2)*$D$6</f>
        <v>798.14</v>
      </c>
      <c r="G38" s="41">
        <f>E38-F38</f>
        <v>1676.2600000000002</v>
      </c>
      <c r="H38" s="92">
        <f>ROUND(D38*$E$4,2)*(B38-B37)</f>
        <v>757.82</v>
      </c>
      <c r="I38" s="45">
        <f>G38+H38</f>
        <v>2434.0800000000004</v>
      </c>
      <c r="J38" s="60"/>
      <c r="M38" s="59">
        <f t="shared" si="0"/>
        <v>44766</v>
      </c>
      <c r="N38">
        <f>N37+$D$6</f>
        <v>62</v>
      </c>
      <c r="O38" s="38">
        <v>4</v>
      </c>
      <c r="P38" s="40">
        <f>P37-S37</f>
        <v>4957.7599999999993</v>
      </c>
      <c r="Q38" s="40">
        <f>$W$34</f>
        <v>3005.38</v>
      </c>
      <c r="R38" s="40">
        <f>ROUND(P38*$D$4,2)*$D$6</f>
        <v>687.12</v>
      </c>
      <c r="S38" s="41">
        <f>Q38-R38</f>
        <v>2318.2600000000002</v>
      </c>
      <c r="T38" s="92">
        <f>ROUND(P38*$E$4,2)*(N38-N37)</f>
        <v>652.4</v>
      </c>
      <c r="U38" s="43">
        <f>T38+S38</f>
        <v>2970.6600000000003</v>
      </c>
      <c r="V38" s="60"/>
      <c r="Z38" s="59">
        <f>Z37+AA38-AA37</f>
        <v>44760</v>
      </c>
      <c r="AA38">
        <f>$AA$20</f>
        <v>56</v>
      </c>
      <c r="AB38" s="38">
        <v>4</v>
      </c>
      <c r="AC38" s="40">
        <f>AC37-AF37</f>
        <v>1733.4200000000005</v>
      </c>
      <c r="AD38" s="40">
        <f>$D$3-SUM(AF34:AF37)+AE38</f>
        <v>1870.7</v>
      </c>
      <c r="AE38" s="40">
        <f>ROUND(AC38*$D$4,2)*(AA38-AA37)</f>
        <v>137.28</v>
      </c>
      <c r="AF38" s="41">
        <f>AC38</f>
        <v>1733.4200000000005</v>
      </c>
      <c r="AG38" s="92">
        <f>ROUND(AC38*$E$4,2)*(AA38-AA37)</f>
        <v>130.32</v>
      </c>
      <c r="AH38" s="45">
        <f>AF38+AG38</f>
        <v>1863.7400000000005</v>
      </c>
      <c r="AL38" s="59">
        <f>AL37+AM38-AM37</f>
        <v>44760</v>
      </c>
      <c r="AM38">
        <f>$AA$20</f>
        <v>56</v>
      </c>
      <c r="AN38" s="38">
        <v>4</v>
      </c>
      <c r="AO38" s="40">
        <f>AO37-AR37</f>
        <v>1804.7600000000002</v>
      </c>
      <c r="AP38" s="40">
        <f>$D$3-SUM(AR34:AR37)+AQ38</f>
        <v>1947.7200000000003</v>
      </c>
      <c r="AQ38" s="40">
        <f>ROUND(AO38*$D$4,2)*(AM38-AM37)</f>
        <v>142.96</v>
      </c>
      <c r="AR38" s="41">
        <f>AO38</f>
        <v>1804.7600000000002</v>
      </c>
      <c r="AS38" s="92">
        <f>ROUND(AO38*$E$4,2)*(AM38-AM37)</f>
        <v>135.68</v>
      </c>
      <c r="AT38" s="43">
        <f>AR38+AS38</f>
        <v>1940.4400000000003</v>
      </c>
    </row>
    <row r="39" spans="1:48" x14ac:dyDescent="0.25">
      <c r="A39" s="59">
        <f>A38+B39-B38</f>
        <v>44760</v>
      </c>
      <c r="B39">
        <f>B38+$D$6</f>
        <v>56</v>
      </c>
      <c r="C39" s="107">
        <v>4</v>
      </c>
      <c r="D39" s="40">
        <f>D38-G38</f>
        <v>4081.8799999999992</v>
      </c>
      <c r="E39" s="40">
        <f>K34</f>
        <v>2474.4</v>
      </c>
      <c r="F39" s="40">
        <f>ROUND(D39*$D$4,2)*(B39-B38)</f>
        <v>565.74</v>
      </c>
      <c r="G39" s="41">
        <f>E39-F39</f>
        <v>1908.66</v>
      </c>
      <c r="H39" s="92">
        <f>ROUND(D39*$E$4,2)*(B39-B38)</f>
        <v>537.17999999999995</v>
      </c>
      <c r="I39" s="45">
        <f>G39+H39</f>
        <v>2445.84</v>
      </c>
      <c r="J39" s="60"/>
      <c r="M39" s="59">
        <f t="shared" si="0"/>
        <v>44780</v>
      </c>
      <c r="N39">
        <f>N38+$D$6</f>
        <v>76</v>
      </c>
      <c r="O39" s="111" t="s">
        <v>89</v>
      </c>
      <c r="P39" s="40">
        <f>P38-S38</f>
        <v>2639.4999999999991</v>
      </c>
      <c r="Q39" s="40">
        <f>$D$3-SUM(S35:S38)+R39</f>
        <v>3005.3199999999993</v>
      </c>
      <c r="R39" s="40">
        <f>ROUND(P39*$D$4,2)*$D$6</f>
        <v>365.82</v>
      </c>
      <c r="S39" s="41">
        <f>P39</f>
        <v>2639.4999999999991</v>
      </c>
      <c r="T39" s="92">
        <f>ROUND(P39*$E$4,2)*(N39-N38)</f>
        <v>347.34</v>
      </c>
      <c r="U39" s="43">
        <f>S39+T39</f>
        <v>2986.8399999999992</v>
      </c>
      <c r="V39" s="60"/>
      <c r="Z39" s="59"/>
      <c r="AB39" s="103"/>
      <c r="AC39" s="98"/>
      <c r="AD39" s="98"/>
      <c r="AE39" s="98"/>
      <c r="AF39" s="99"/>
      <c r="AG39" s="100"/>
      <c r="AH39" s="101"/>
      <c r="AL39" s="59"/>
      <c r="AN39" s="103"/>
      <c r="AO39" s="98"/>
      <c r="AP39" s="98"/>
      <c r="AQ39" s="98"/>
      <c r="AR39" s="99"/>
      <c r="AS39" s="100"/>
      <c r="AT39" s="104"/>
    </row>
    <row r="40" spans="1:48" ht="15.75" thickBot="1" x14ac:dyDescent="0.3">
      <c r="A40" s="59">
        <f>A39+B40-B39</f>
        <v>44774</v>
      </c>
      <c r="B40">
        <f>B39+$D$6</f>
        <v>70</v>
      </c>
      <c r="C40" s="102" t="s">
        <v>89</v>
      </c>
      <c r="D40" s="40">
        <f>D39-G39</f>
        <v>2173.2199999999993</v>
      </c>
      <c r="E40" s="40">
        <f>$D$33-SUM(G35:G39)+F40</f>
        <v>2474.3599999999992</v>
      </c>
      <c r="F40" s="40">
        <f>ROUND(D40*$D$4,2)*(B40-B39)</f>
        <v>301.14000000000004</v>
      </c>
      <c r="G40" s="99">
        <f>D40</f>
        <v>2173.2199999999993</v>
      </c>
      <c r="H40" s="92">
        <f>ROUND(D40*$E$4,2)*(B40-B39)</f>
        <v>286.02</v>
      </c>
      <c r="I40" s="45">
        <f>G40+H40</f>
        <v>2459.2399999999993</v>
      </c>
      <c r="O40" s="96" t="s">
        <v>20</v>
      </c>
      <c r="P40" s="97"/>
      <c r="Q40" s="97">
        <f>SUM(Q36:Q39)+O31</f>
        <v>12239.46</v>
      </c>
      <c r="R40" s="97">
        <f>SUM(R34:R39)</f>
        <v>4912.619999999999</v>
      </c>
      <c r="S40" s="47">
        <f>SUM(S35:S39)</f>
        <v>9000</v>
      </c>
      <c r="T40" s="48">
        <f>SUM(T34:T39)</f>
        <v>4323.2</v>
      </c>
      <c r="U40" s="49">
        <f>SUM(U36:U39)</f>
        <v>11857.8</v>
      </c>
      <c r="AB40" s="136" t="s">
        <v>20</v>
      </c>
      <c r="AC40" s="137"/>
      <c r="AD40" s="93">
        <f>SUM(AD33:AD38)+AB31</f>
        <v>11898.24</v>
      </c>
      <c r="AE40" s="93">
        <f>SUM(AE33:AE38)</f>
        <v>2898.24</v>
      </c>
      <c r="AF40" s="47">
        <f>SUM(AF34:AF38)</f>
        <v>9000</v>
      </c>
      <c r="AG40" s="48">
        <f>SUM(AG34:AG38)</f>
        <v>2347.7800000000002</v>
      </c>
      <c r="AH40" s="49">
        <f>SUM(AH34:AH38)</f>
        <v>8773.5399999999991</v>
      </c>
      <c r="AN40" s="136" t="s">
        <v>20</v>
      </c>
      <c r="AO40" s="137"/>
      <c r="AP40" s="93">
        <f>SUM(AP33:AP38)+AN31</f>
        <v>11948.720000000001</v>
      </c>
      <c r="AQ40" s="93">
        <f>SUM(AQ33:AQ38)</f>
        <v>2948.7200000000003</v>
      </c>
      <c r="AR40" s="47">
        <f>SUM(AR34:AR38)</f>
        <v>9000</v>
      </c>
      <c r="AS40" s="48">
        <f>SUM(AS34:AS38)</f>
        <v>2458.4199999999996</v>
      </c>
      <c r="AT40" s="49">
        <f>SUM(AT34:AT38)</f>
        <v>9073</v>
      </c>
    </row>
    <row r="41" spans="1:48" ht="15.75" thickBot="1" x14ac:dyDescent="0.3">
      <c r="C41" s="94" t="s">
        <v>20</v>
      </c>
      <c r="D41" s="95"/>
      <c r="E41" s="93">
        <f>SUM(E33:E39)</f>
        <v>8670.6</v>
      </c>
      <c r="F41" s="93">
        <f>SUM(F33:F39)</f>
        <v>4860.7999999999993</v>
      </c>
      <c r="G41" s="47">
        <f>SUM(G33:G39)</f>
        <v>6826.7800000000007</v>
      </c>
      <c r="H41" s="48">
        <f>SUM(H36:H39)</f>
        <v>3493.9799999999996</v>
      </c>
      <c r="I41" s="49">
        <f>SUM(I34:I39)</f>
        <v>8551.18</v>
      </c>
      <c r="AD41" s="28">
        <f>(AE40+AF40)/AF40</f>
        <v>1.3220266666666667</v>
      </c>
      <c r="AE41" s="68">
        <f>AE21-AE40</f>
        <v>421.7199999999998</v>
      </c>
      <c r="AH41" s="29">
        <f>AH40/AF40</f>
        <v>0.97483777777777769</v>
      </c>
      <c r="AP41" s="28">
        <f>(AQ40+AR40)/AR40</f>
        <v>1.3276355555555557</v>
      </c>
      <c r="AQ41" s="68">
        <f>AQ21-AQ40</f>
        <v>371.23999999999933</v>
      </c>
      <c r="AT41" s="29">
        <f>AT40/AR40</f>
        <v>1.0081111111111112</v>
      </c>
    </row>
    <row r="42" spans="1:48" x14ac:dyDescent="0.25">
      <c r="E42" s="28">
        <f>(F41+G41)/G41</f>
        <v>1.712019429364942</v>
      </c>
      <c r="F42" s="68"/>
      <c r="I42" s="29">
        <f>I41/G41</f>
        <v>1.25259346280384</v>
      </c>
    </row>
    <row r="47" spans="1:48" x14ac:dyDescent="0.25">
      <c r="G47" s="70"/>
      <c r="H47" s="70"/>
    </row>
  </sheetData>
  <mergeCells count="6">
    <mergeCell ref="AN21:AO21"/>
    <mergeCell ref="AB40:AC40"/>
    <mergeCell ref="AN40:AO40"/>
    <mergeCell ref="C21:D21"/>
    <mergeCell ref="AB21:AC21"/>
    <mergeCell ref="O21:P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74EE-34E1-489D-AD23-F5D93534B2C3}">
  <sheetPr>
    <tabColor theme="9" tint="0.39997558519241921"/>
  </sheetPr>
  <dimension ref="A1:K42"/>
  <sheetViews>
    <sheetView topLeftCell="A22" workbookViewId="0">
      <selection activeCell="D32" sqref="D32"/>
    </sheetView>
  </sheetViews>
  <sheetFormatPr defaultRowHeight="15" x14ac:dyDescent="0.25"/>
  <cols>
    <col min="1" max="1" width="12.5703125" customWidth="1"/>
    <col min="2" max="2" width="17.85546875" customWidth="1"/>
    <col min="3" max="3" width="9.42578125" bestFit="1" customWidth="1"/>
    <col min="4" max="4" width="13.85546875" customWidth="1"/>
    <col min="6" max="6" width="11.140625" customWidth="1"/>
    <col min="7" max="7" width="9.7109375" customWidth="1"/>
    <col min="8" max="8" width="12.42578125" customWidth="1"/>
    <col min="9" max="9" width="11.85546875" customWidth="1"/>
  </cols>
  <sheetData>
    <row r="1" spans="1:11" x14ac:dyDescent="0.25">
      <c r="H1" s="60"/>
      <c r="I1" s="60"/>
      <c r="J1" s="60"/>
      <c r="K1" s="60"/>
    </row>
    <row r="2" spans="1:11" x14ac:dyDescent="0.25">
      <c r="B2" s="8" t="s">
        <v>0</v>
      </c>
      <c r="H2" s="60"/>
      <c r="I2" s="60"/>
      <c r="J2" s="60"/>
      <c r="K2" s="60"/>
    </row>
    <row r="3" spans="1:11" x14ac:dyDescent="0.25">
      <c r="B3" t="s">
        <v>1</v>
      </c>
      <c r="D3" s="2">
        <v>9000</v>
      </c>
      <c r="H3" s="60"/>
      <c r="I3" s="84"/>
      <c r="J3" s="60"/>
      <c r="K3" s="60"/>
    </row>
    <row r="4" spans="1:11" ht="45" x14ac:dyDescent="0.25">
      <c r="B4" s="23" t="s">
        <v>83</v>
      </c>
      <c r="D4" s="91">
        <v>9.9000000000000008E-3</v>
      </c>
      <c r="E4" s="91">
        <f>ROUND(D4*0.95,4)</f>
        <v>9.4000000000000004E-3</v>
      </c>
      <c r="H4" s="60"/>
      <c r="I4" s="85"/>
      <c r="J4" s="60"/>
      <c r="K4" s="60"/>
    </row>
    <row r="5" spans="1:11" x14ac:dyDescent="0.25">
      <c r="B5" t="s">
        <v>3</v>
      </c>
      <c r="D5">
        <v>4</v>
      </c>
      <c r="H5" s="60"/>
      <c r="I5" s="85"/>
      <c r="J5" s="60"/>
      <c r="K5" s="60"/>
    </row>
    <row r="6" spans="1:11" x14ac:dyDescent="0.25">
      <c r="B6" t="s">
        <v>4</v>
      </c>
      <c r="D6">
        <v>14</v>
      </c>
      <c r="E6">
        <f>D6*D5</f>
        <v>56</v>
      </c>
      <c r="H6" s="60"/>
      <c r="I6" s="60"/>
      <c r="J6" s="60"/>
      <c r="K6" s="60"/>
    </row>
    <row r="7" spans="1:11" ht="30" x14ac:dyDescent="0.25">
      <c r="B7" s="23" t="s">
        <v>91</v>
      </c>
      <c r="D7" s="3">
        <v>8.0000000000000002E-3</v>
      </c>
    </row>
    <row r="9" spans="1:11" x14ac:dyDescent="0.25">
      <c r="B9" t="s">
        <v>5</v>
      </c>
    </row>
    <row r="10" spans="1:11" x14ac:dyDescent="0.25">
      <c r="B10" t="s">
        <v>6</v>
      </c>
      <c r="C10" s="4">
        <f>D6*D4</f>
        <v>0.1386</v>
      </c>
    </row>
    <row r="11" spans="1:11" x14ac:dyDescent="0.25">
      <c r="B11" t="s">
        <v>7</v>
      </c>
      <c r="C11" s="4">
        <f>C10*(1+C10)^$D$5/((1+C10)^$D$5-1)</f>
        <v>0.34222027314363579</v>
      </c>
      <c r="D11" s="4"/>
      <c r="E11" s="4"/>
      <c r="F11" s="3"/>
    </row>
    <row r="12" spans="1:11" x14ac:dyDescent="0.25">
      <c r="B12" t="s">
        <v>8</v>
      </c>
      <c r="C12" s="50">
        <f>ROUND($C$11*D3,2)</f>
        <v>3079.98</v>
      </c>
      <c r="D12" s="5"/>
    </row>
    <row r="13" spans="1:11" x14ac:dyDescent="0.25">
      <c r="B13" t="s">
        <v>9</v>
      </c>
      <c r="D13" s="62"/>
    </row>
    <row r="14" spans="1:11" ht="16.5" thickBot="1" x14ac:dyDescent="0.3">
      <c r="D14" s="1" t="s">
        <v>78</v>
      </c>
      <c r="E14" s="8"/>
      <c r="F14" s="8"/>
    </row>
    <row r="15" spans="1:11" ht="30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</row>
    <row r="16" spans="1:11" x14ac:dyDescent="0.25">
      <c r="A16" s="59">
        <v>44704</v>
      </c>
      <c r="B16">
        <v>0</v>
      </c>
      <c r="C16" s="39">
        <v>0</v>
      </c>
      <c r="E16" s="40"/>
      <c r="F16" s="40"/>
      <c r="G16" s="41"/>
      <c r="H16" s="42"/>
      <c r="I16" s="43"/>
    </row>
    <row r="17" spans="1:11" x14ac:dyDescent="0.25">
      <c r="A17" s="59">
        <f>A16+B17-B16</f>
        <v>44718</v>
      </c>
      <c r="B17">
        <f>B16+$D$6</f>
        <v>14</v>
      </c>
      <c r="C17" s="39">
        <v>1</v>
      </c>
      <c r="D17" s="40">
        <f>D3</f>
        <v>9000</v>
      </c>
      <c r="E17" s="40">
        <f>$C$12</f>
        <v>3079.98</v>
      </c>
      <c r="F17" s="40">
        <f>ROUND(D17*$D$4,2)*$D$6</f>
        <v>1247.3999999999999</v>
      </c>
      <c r="G17" s="41">
        <f>E17-F17</f>
        <v>1832.5800000000002</v>
      </c>
      <c r="H17" s="92">
        <f>ROUND(D17*$E$4,2)*$D$6</f>
        <v>1184.3999999999999</v>
      </c>
      <c r="I17" s="45">
        <f>G17+H17</f>
        <v>3016.98</v>
      </c>
    </row>
    <row r="18" spans="1:11" x14ac:dyDescent="0.25">
      <c r="A18" s="59">
        <f>A17+B18-B17</f>
        <v>44732</v>
      </c>
      <c r="B18">
        <f>B17+$D$6</f>
        <v>28</v>
      </c>
      <c r="C18" s="39">
        <v>2</v>
      </c>
      <c r="D18" s="40">
        <f>D17-G17</f>
        <v>7167.42</v>
      </c>
      <c r="E18" s="40">
        <f>$C$12</f>
        <v>3079.98</v>
      </c>
      <c r="F18" s="40">
        <f>ROUND(D18*$D$4,2)*$D$6</f>
        <v>993.43999999999994</v>
      </c>
      <c r="G18" s="41">
        <f>E18-F18</f>
        <v>2086.54</v>
      </c>
      <c r="H18" s="92">
        <f>ROUND(D18*$E$4,2)*$D$6</f>
        <v>943.18000000000006</v>
      </c>
      <c r="I18" s="45">
        <f>G18+H18</f>
        <v>3029.7200000000003</v>
      </c>
    </row>
    <row r="19" spans="1:11" x14ac:dyDescent="0.25">
      <c r="A19" s="59">
        <f>A18+B19-B18</f>
        <v>44746</v>
      </c>
      <c r="B19">
        <f>B18+$D$6</f>
        <v>42</v>
      </c>
      <c r="C19" s="39">
        <v>3</v>
      </c>
      <c r="D19" s="40">
        <f>D18-G18</f>
        <v>5080.88</v>
      </c>
      <c r="E19" s="40">
        <f>$C$12</f>
        <v>3079.98</v>
      </c>
      <c r="F19" s="40">
        <f>ROUND(D19*$D$4,2)*$D$6</f>
        <v>704.19999999999993</v>
      </c>
      <c r="G19" s="41">
        <f>E19-F19</f>
        <v>2375.7800000000002</v>
      </c>
      <c r="H19" s="92">
        <f>ROUND(D19*$E$4,2)*$D$6</f>
        <v>668.64</v>
      </c>
      <c r="I19" s="45">
        <f>G19+H19</f>
        <v>3044.42</v>
      </c>
    </row>
    <row r="20" spans="1:11" x14ac:dyDescent="0.25">
      <c r="A20" s="59">
        <f>A19+B20-B19</f>
        <v>44760</v>
      </c>
      <c r="B20">
        <f>B19+$D$6</f>
        <v>56</v>
      </c>
      <c r="C20" s="39">
        <v>4</v>
      </c>
      <c r="D20" s="40">
        <f>D19-G19</f>
        <v>2705.1</v>
      </c>
      <c r="E20" s="40">
        <f>$D$3-SUM(G15:G19)+F20</f>
        <v>3080.0200000000004</v>
      </c>
      <c r="F20" s="40">
        <f>ROUND(D20*$D$4,2)*$D$6</f>
        <v>374.92</v>
      </c>
      <c r="G20" s="41">
        <f>E20-F20</f>
        <v>2705.1000000000004</v>
      </c>
      <c r="H20" s="92">
        <f>ROUND(D20*$E$4,2)*$D$6</f>
        <v>356.02</v>
      </c>
      <c r="I20" s="45">
        <f>G20+H20</f>
        <v>3061.1200000000003</v>
      </c>
    </row>
    <row r="21" spans="1:11" ht="15.75" thickBot="1" x14ac:dyDescent="0.3">
      <c r="C21" s="136" t="s">
        <v>20</v>
      </c>
      <c r="D21" s="137"/>
      <c r="E21" s="93">
        <f>SUM(E16:E20)</f>
        <v>12319.960000000001</v>
      </c>
      <c r="F21" s="93">
        <f>SUM(F16:F20)</f>
        <v>3319.9599999999996</v>
      </c>
      <c r="G21" s="47">
        <f>SUM(G16:G20)</f>
        <v>9000</v>
      </c>
      <c r="H21" s="48">
        <f>SUM(H17:H20)</f>
        <v>3152.24</v>
      </c>
      <c r="I21" s="49">
        <f>G21+H21</f>
        <v>12152.24</v>
      </c>
    </row>
    <row r="22" spans="1:11" x14ac:dyDescent="0.25">
      <c r="E22" s="28">
        <f>E21/G21</f>
        <v>1.3688844444444446</v>
      </c>
      <c r="I22" s="29">
        <f>I21/G21</f>
        <v>1.3502488888888888</v>
      </c>
    </row>
    <row r="24" spans="1:11" ht="15.75" thickBot="1" x14ac:dyDescent="0.3"/>
    <row r="25" spans="1:11" ht="75" x14ac:dyDescent="0.25">
      <c r="B25" s="63" t="s">
        <v>43</v>
      </c>
      <c r="C25" s="9" t="s">
        <v>45</v>
      </c>
      <c r="D25" s="10" t="s">
        <v>65</v>
      </c>
      <c r="E25" s="10" t="s">
        <v>46</v>
      </c>
      <c r="F25" s="10" t="s">
        <v>47</v>
      </c>
      <c r="G25" s="10" t="s">
        <v>48</v>
      </c>
      <c r="H25" s="10" t="s">
        <v>69</v>
      </c>
      <c r="I25" s="11" t="s">
        <v>75</v>
      </c>
    </row>
    <row r="26" spans="1:11" ht="15.75" thickBot="1" x14ac:dyDescent="0.3">
      <c r="C26" s="56">
        <f>D17</f>
        <v>9000</v>
      </c>
      <c r="D26" s="57">
        <f>F17+G17</f>
        <v>3079.98</v>
      </c>
      <c r="E26" s="57">
        <f>ROUND(C26*$D$4,2)*10</f>
        <v>891</v>
      </c>
      <c r="F26" s="57">
        <f>G17</f>
        <v>1832.5800000000002</v>
      </c>
      <c r="G26" s="44">
        <f>ROUND(C26*$E$4,2)*10</f>
        <v>846</v>
      </c>
      <c r="H26" s="57">
        <f>C26+G26</f>
        <v>9846</v>
      </c>
      <c r="I26" s="30">
        <f>C26+E26</f>
        <v>9891</v>
      </c>
    </row>
    <row r="29" spans="1:11" x14ac:dyDescent="0.25">
      <c r="B29" t="s">
        <v>88</v>
      </c>
      <c r="C29" s="106">
        <f>ROUND(D36*$D$7,2)*$D$6</f>
        <v>1008</v>
      </c>
    </row>
    <row r="31" spans="1:11" ht="45.75" thickBot="1" x14ac:dyDescent="0.3">
      <c r="B31" t="s">
        <v>90</v>
      </c>
      <c r="C31" s="106">
        <f>C29</f>
        <v>1008</v>
      </c>
      <c r="D31" s="105">
        <v>500</v>
      </c>
      <c r="K31" s="23" t="s">
        <v>84</v>
      </c>
    </row>
    <row r="32" spans="1:11" ht="45" x14ac:dyDescent="0.25">
      <c r="A32" t="s">
        <v>77</v>
      </c>
      <c r="B32" t="s">
        <v>76</v>
      </c>
      <c r="C32" s="9" t="s">
        <v>15</v>
      </c>
      <c r="D32" s="10" t="s">
        <v>71</v>
      </c>
      <c r="E32" s="10" t="s">
        <v>73</v>
      </c>
      <c r="F32" s="10" t="s">
        <v>72</v>
      </c>
      <c r="G32" s="11" t="s">
        <v>19</v>
      </c>
      <c r="H32" s="24" t="s">
        <v>85</v>
      </c>
      <c r="I32" s="25" t="s">
        <v>86</v>
      </c>
      <c r="K32">
        <v>4</v>
      </c>
    </row>
    <row r="33" spans="1:11" x14ac:dyDescent="0.25">
      <c r="A33" s="59">
        <v>44704</v>
      </c>
      <c r="B33">
        <v>0</v>
      </c>
      <c r="C33" s="107">
        <v>0</v>
      </c>
      <c r="D33" s="40">
        <f>D17</f>
        <v>9000</v>
      </c>
      <c r="E33" s="40"/>
      <c r="F33" s="40"/>
      <c r="G33" s="41"/>
      <c r="H33" s="42"/>
      <c r="I33" s="43"/>
      <c r="K33">
        <f>C10*(1+C10)^$K$32/((1+C10)^$K$32-1)</f>
        <v>0.34222027314363579</v>
      </c>
    </row>
    <row r="34" spans="1:11" x14ac:dyDescent="0.25">
      <c r="A34" s="59">
        <f>A33+B34-B33</f>
        <v>44714</v>
      </c>
      <c r="B34" s="108">
        <v>10</v>
      </c>
      <c r="C34" s="107">
        <v>0</v>
      </c>
      <c r="E34" s="40"/>
      <c r="F34" s="109">
        <f>IF($C$29-$C$31&gt;0,$C$31,$C$29)</f>
        <v>1008</v>
      </c>
      <c r="G34" s="110">
        <f>C31-F34</f>
        <v>0</v>
      </c>
      <c r="H34" s="42"/>
      <c r="I34" s="43"/>
      <c r="J34" s="61"/>
      <c r="K34">
        <f>ROUND($K$33*D37,2)</f>
        <v>2908.87</v>
      </c>
    </row>
    <row r="35" spans="1:11" x14ac:dyDescent="0.25">
      <c r="A35" s="59">
        <f>A34+B35-B34</f>
        <v>44716</v>
      </c>
      <c r="B35" s="32">
        <v>12</v>
      </c>
      <c r="C35" s="107">
        <v>0</v>
      </c>
      <c r="D35" s="40"/>
      <c r="E35" s="40"/>
      <c r="F35" s="51">
        <v>0</v>
      </c>
      <c r="G35" s="52">
        <f>D31-F35</f>
        <v>500</v>
      </c>
      <c r="H35" s="89"/>
      <c r="I35" s="45"/>
      <c r="J35" s="61"/>
    </row>
    <row r="36" spans="1:11" x14ac:dyDescent="0.25">
      <c r="A36" s="59">
        <f>A34+B36-B34</f>
        <v>44718</v>
      </c>
      <c r="B36" s="60">
        <f>B33+$D$6</f>
        <v>14</v>
      </c>
      <c r="C36" s="107">
        <v>1</v>
      </c>
      <c r="D36" s="40">
        <f>D33</f>
        <v>9000</v>
      </c>
      <c r="E36" s="40">
        <f>F36</f>
        <v>1008</v>
      </c>
      <c r="F36" s="40">
        <f>F34</f>
        <v>1008</v>
      </c>
      <c r="G36" s="41">
        <v>0</v>
      </c>
      <c r="H36" s="89">
        <f>F36</f>
        <v>1008</v>
      </c>
      <c r="I36" s="45">
        <f>G36+H36</f>
        <v>1008</v>
      </c>
      <c r="J36" s="60"/>
    </row>
    <row r="37" spans="1:11" x14ac:dyDescent="0.25">
      <c r="A37" s="59">
        <f>A36+B37-B36</f>
        <v>44732</v>
      </c>
      <c r="B37">
        <f>B36+$D$6</f>
        <v>28</v>
      </c>
      <c r="C37" s="107">
        <v>2</v>
      </c>
      <c r="D37" s="40">
        <f>D36-G35</f>
        <v>8500</v>
      </c>
      <c r="E37" s="40">
        <f>K34</f>
        <v>2908.87</v>
      </c>
      <c r="F37" s="40">
        <f>ROUND(D37*$D$4,2)*$D$6</f>
        <v>1178.1000000000001</v>
      </c>
      <c r="G37" s="41">
        <f>E37-F37</f>
        <v>1730.7699999999998</v>
      </c>
      <c r="H37" s="92">
        <f>ROUND(D37*$E$4,2)*(B37-B36)</f>
        <v>1118.6000000000001</v>
      </c>
      <c r="I37" s="45">
        <f>G37+H37</f>
        <v>2849.37</v>
      </c>
      <c r="J37" s="60"/>
    </row>
    <row r="38" spans="1:11" x14ac:dyDescent="0.25">
      <c r="A38" s="59">
        <f>A37+B38-B37</f>
        <v>44746</v>
      </c>
      <c r="B38">
        <f>B37+$D$6</f>
        <v>42</v>
      </c>
      <c r="C38" s="107">
        <v>3</v>
      </c>
      <c r="D38" s="40">
        <f>D37-G37</f>
        <v>6769.2300000000005</v>
      </c>
      <c r="E38" s="40">
        <f>K34</f>
        <v>2908.87</v>
      </c>
      <c r="F38" s="40">
        <f>ROUND(D38*$D$4,2)*$D$6</f>
        <v>938.28</v>
      </c>
      <c r="G38" s="41">
        <f>E38-F38</f>
        <v>1970.59</v>
      </c>
      <c r="H38" s="92">
        <f>ROUND(D38*$E$4,2)*(B38-B37)</f>
        <v>890.82</v>
      </c>
      <c r="I38" s="45">
        <f>G38+H38</f>
        <v>2861.41</v>
      </c>
      <c r="J38" s="60"/>
    </row>
    <row r="39" spans="1:11" x14ac:dyDescent="0.25">
      <c r="A39" s="59">
        <f>A38+B39-B38</f>
        <v>44760</v>
      </c>
      <c r="B39">
        <f>B38+$D$6</f>
        <v>56</v>
      </c>
      <c r="C39" s="107">
        <v>4</v>
      </c>
      <c r="D39" s="40">
        <f>D38-G38</f>
        <v>4798.6400000000003</v>
      </c>
      <c r="E39" s="40">
        <f>K34</f>
        <v>2908.87</v>
      </c>
      <c r="F39" s="40">
        <f>ROUND(D39*$D$4,2)*(B39-B38)</f>
        <v>665.14</v>
      </c>
      <c r="G39" s="41">
        <f>E39-F39</f>
        <v>2243.73</v>
      </c>
      <c r="H39" s="92">
        <f>ROUND(D39*$E$4,2)*(B39-B38)</f>
        <v>631.54</v>
      </c>
      <c r="I39" s="45">
        <f>G39+H39</f>
        <v>2875.27</v>
      </c>
      <c r="J39" s="60"/>
    </row>
    <row r="40" spans="1:11" x14ac:dyDescent="0.25">
      <c r="A40" s="59">
        <f>A39+B40-B39</f>
        <v>44774</v>
      </c>
      <c r="B40">
        <f>B39+$D$6</f>
        <v>70</v>
      </c>
      <c r="C40" s="102" t="s">
        <v>89</v>
      </c>
      <c r="D40" s="40">
        <f>D39-G39</f>
        <v>2554.9100000000003</v>
      </c>
      <c r="E40" s="40">
        <f>$D$33-SUM(G35:G39)+F40</f>
        <v>2908.97</v>
      </c>
      <c r="F40" s="40">
        <f>ROUND(D40*$D$4,2)*(B40-B39)</f>
        <v>354.06</v>
      </c>
      <c r="G40" s="99">
        <f>D40</f>
        <v>2554.9100000000003</v>
      </c>
      <c r="H40" s="92">
        <f>ROUND(D40*$E$4,2)*(B40-B39)</f>
        <v>336.28</v>
      </c>
      <c r="I40" s="45">
        <f>G40+H40</f>
        <v>2891.1900000000005</v>
      </c>
    </row>
    <row r="41" spans="1:11" ht="15.75" thickBot="1" x14ac:dyDescent="0.3">
      <c r="C41" s="94" t="s">
        <v>20</v>
      </c>
      <c r="D41" s="95"/>
      <c r="E41" s="93">
        <f>SUM(E33:E39)</f>
        <v>9734.61</v>
      </c>
      <c r="F41" s="93">
        <f>SUM(F33:F39)</f>
        <v>4797.5200000000004</v>
      </c>
      <c r="G41" s="47">
        <f>SUM(G33:G39)</f>
        <v>6445.09</v>
      </c>
      <c r="H41" s="48">
        <f>SUM(H36:H39)</f>
        <v>3648.9600000000005</v>
      </c>
      <c r="I41" s="49">
        <f>SUM(I34:I39)</f>
        <v>9594.0499999999993</v>
      </c>
    </row>
    <row r="42" spans="1:11" x14ac:dyDescent="0.25">
      <c r="E42" s="28">
        <f>(F41+G41)/G41</f>
        <v>1.7443681934619999</v>
      </c>
      <c r="F42" s="68"/>
      <c r="I42" s="29">
        <f>I41/G41</f>
        <v>1.4885827816213582</v>
      </c>
    </row>
  </sheetData>
  <mergeCells count="1">
    <mergeCell ref="C21:D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015A-8F78-4C4E-A3D8-A76719114A5D}">
  <sheetPr>
    <tabColor theme="9" tint="0.39997558519241921"/>
  </sheetPr>
  <dimension ref="A2:T38"/>
  <sheetViews>
    <sheetView topLeftCell="A17" workbookViewId="0">
      <selection activeCell="F30" sqref="F30"/>
    </sheetView>
  </sheetViews>
  <sheetFormatPr defaultRowHeight="15" x14ac:dyDescent="0.25"/>
  <cols>
    <col min="1" max="1" width="10.140625" bestFit="1" customWidth="1"/>
    <col min="2" max="2" width="19.42578125" customWidth="1"/>
    <col min="3" max="3" width="10.42578125" bestFit="1" customWidth="1"/>
    <col min="4" max="4" width="12.42578125" customWidth="1"/>
    <col min="5" max="5" width="12.85546875" customWidth="1"/>
    <col min="6" max="6" width="10.85546875" customWidth="1"/>
    <col min="7" max="7" width="11.42578125" customWidth="1"/>
    <col min="8" max="8" width="11.140625" customWidth="1"/>
    <col min="9" max="9" width="10.7109375" customWidth="1"/>
    <col min="12" max="12" width="12.85546875" customWidth="1"/>
    <col min="13" max="13" width="19.28515625" bestFit="1" customWidth="1"/>
    <col min="14" max="14" width="11.42578125" customWidth="1"/>
    <col min="15" max="15" width="9.42578125" bestFit="1" customWidth="1"/>
    <col min="16" max="16" width="10.28515625" customWidth="1"/>
    <col min="17" max="17" width="10.85546875" customWidth="1"/>
  </cols>
  <sheetData>
    <row r="2" spans="1:20" x14ac:dyDescent="0.25">
      <c r="B2" s="8" t="s">
        <v>0</v>
      </c>
    </row>
    <row r="3" spans="1:20" x14ac:dyDescent="0.25">
      <c r="B3" t="s">
        <v>1</v>
      </c>
      <c r="D3" s="2">
        <v>9000</v>
      </c>
    </row>
    <row r="4" spans="1:20" ht="31.5" customHeight="1" x14ac:dyDescent="0.25">
      <c r="B4" s="23" t="s">
        <v>83</v>
      </c>
      <c r="D4" s="91">
        <v>9.9000000000000008E-3</v>
      </c>
      <c r="E4" s="91">
        <f>ROUND(D4*0.95,4)</f>
        <v>9.4000000000000004E-3</v>
      </c>
    </row>
    <row r="5" spans="1:20" x14ac:dyDescent="0.25">
      <c r="B5" t="s">
        <v>3</v>
      </c>
      <c r="D5">
        <v>4</v>
      </c>
      <c r="I5" s="7"/>
    </row>
    <row r="6" spans="1:20" x14ac:dyDescent="0.25">
      <c r="B6" t="s">
        <v>4</v>
      </c>
      <c r="D6">
        <v>14</v>
      </c>
      <c r="E6">
        <f>D6*D5</f>
        <v>56</v>
      </c>
    </row>
    <row r="9" spans="1:20" x14ac:dyDescent="0.25">
      <c r="B9" t="s">
        <v>5</v>
      </c>
    </row>
    <row r="10" spans="1:20" x14ac:dyDescent="0.25">
      <c r="B10" t="s">
        <v>6</v>
      </c>
      <c r="C10" s="4">
        <f>D6*D4</f>
        <v>0.1386</v>
      </c>
    </row>
    <row r="11" spans="1:20" x14ac:dyDescent="0.25">
      <c r="B11" t="s">
        <v>7</v>
      </c>
      <c r="C11" s="4">
        <f>C10*(1+C10)^$D$5/((1+C10)^$D$5-1)</f>
        <v>0.34222027314363579</v>
      </c>
      <c r="D11" s="4"/>
      <c r="E11" s="4"/>
      <c r="F11" s="3"/>
    </row>
    <row r="12" spans="1:20" x14ac:dyDescent="0.25">
      <c r="B12" t="s">
        <v>8</v>
      </c>
      <c r="C12" s="50">
        <f>ROUND($C$11*D3,2)</f>
        <v>3079.98</v>
      </c>
      <c r="D12" s="5"/>
      <c r="E12" s="5"/>
    </row>
    <row r="13" spans="1:20" x14ac:dyDescent="0.25">
      <c r="B13" t="s">
        <v>9</v>
      </c>
      <c r="D13" s="62"/>
    </row>
    <row r="14" spans="1:20" ht="16.5" thickBot="1" x14ac:dyDescent="0.3">
      <c r="D14" s="1" t="s">
        <v>78</v>
      </c>
      <c r="E14" s="8"/>
      <c r="F14" s="8"/>
      <c r="O14" s="1" t="s">
        <v>78</v>
      </c>
      <c r="P14" s="8"/>
      <c r="Q14" s="8"/>
    </row>
    <row r="15" spans="1:20" ht="45" x14ac:dyDescent="0.25">
      <c r="A15" t="s">
        <v>77</v>
      </c>
      <c r="B15" t="s">
        <v>76</v>
      </c>
      <c r="C15" s="9" t="s">
        <v>15</v>
      </c>
      <c r="D15" s="10" t="s">
        <v>71</v>
      </c>
      <c r="E15" s="10" t="s">
        <v>73</v>
      </c>
      <c r="F15" s="10" t="s">
        <v>72</v>
      </c>
      <c r="G15" s="11" t="s">
        <v>19</v>
      </c>
      <c r="H15" s="24" t="s">
        <v>85</v>
      </c>
      <c r="I15" s="25" t="s">
        <v>86</v>
      </c>
      <c r="L15" t="s">
        <v>77</v>
      </c>
      <c r="M15" t="s">
        <v>76</v>
      </c>
      <c r="N15" s="9" t="s">
        <v>15</v>
      </c>
      <c r="O15" s="10" t="s">
        <v>71</v>
      </c>
      <c r="P15" s="10" t="s">
        <v>73</v>
      </c>
      <c r="Q15" s="10" t="s">
        <v>72</v>
      </c>
      <c r="R15" s="11" t="s">
        <v>19</v>
      </c>
      <c r="S15" s="24" t="s">
        <v>85</v>
      </c>
      <c r="T15" s="25" t="s">
        <v>86</v>
      </c>
    </row>
    <row r="16" spans="1:20" x14ac:dyDescent="0.25">
      <c r="A16" s="59">
        <v>44597</v>
      </c>
      <c r="B16">
        <v>0</v>
      </c>
      <c r="C16" s="39">
        <v>0</v>
      </c>
      <c r="E16" s="40"/>
      <c r="F16" s="40"/>
      <c r="G16" s="41"/>
      <c r="H16" s="42"/>
      <c r="I16" s="43"/>
      <c r="L16" s="59">
        <v>44597</v>
      </c>
      <c r="M16">
        <v>0</v>
      </c>
      <c r="N16" s="39">
        <v>0</v>
      </c>
      <c r="P16" s="40"/>
      <c r="Q16" s="40"/>
      <c r="R16" s="41"/>
      <c r="S16" s="42"/>
      <c r="T16" s="43"/>
    </row>
    <row r="17" spans="1:20" x14ac:dyDescent="0.25">
      <c r="A17" s="59">
        <f>A16+B17-B16</f>
        <v>44611</v>
      </c>
      <c r="B17">
        <f>B16+$D$6</f>
        <v>14</v>
      </c>
      <c r="C17" s="39">
        <v>1</v>
      </c>
      <c r="D17" s="40">
        <f>D3</f>
        <v>9000</v>
      </c>
      <c r="E17" s="40">
        <f>$C$12</f>
        <v>3079.98</v>
      </c>
      <c r="F17" s="40">
        <f>ROUND(D17*$D$4,2)*$D$6</f>
        <v>1247.3999999999999</v>
      </c>
      <c r="G17" s="41">
        <f>E17-F17</f>
        <v>1832.5800000000002</v>
      </c>
      <c r="H17" s="92">
        <f>ROUND(D17*$E$4,2)*$D$6</f>
        <v>1184.3999999999999</v>
      </c>
      <c r="I17" s="45">
        <f>G17+H17</f>
        <v>3016.98</v>
      </c>
      <c r="L17" s="59">
        <f>L16+M17-M16</f>
        <v>44611</v>
      </c>
      <c r="M17">
        <f>M16+$D$6</f>
        <v>14</v>
      </c>
      <c r="N17" s="39">
        <v>1</v>
      </c>
      <c r="O17" s="40">
        <f>O3</f>
        <v>0</v>
      </c>
      <c r="P17" s="40">
        <f>$C$12</f>
        <v>3079.98</v>
      </c>
      <c r="Q17" s="40">
        <f>ROUND(O17*$D$4,2)*$D$6</f>
        <v>0</v>
      </c>
      <c r="R17" s="41">
        <f>P17-Q17</f>
        <v>3079.98</v>
      </c>
      <c r="S17" s="92">
        <f>ROUND(O17*$E$4,2)*$D$6</f>
        <v>0</v>
      </c>
      <c r="T17" s="45">
        <f>R17+S17</f>
        <v>3079.98</v>
      </c>
    </row>
    <row r="18" spans="1:20" x14ac:dyDescent="0.25">
      <c r="A18" s="59">
        <f>A17+B18-B17</f>
        <v>44625</v>
      </c>
      <c r="B18">
        <f>B17+$D$6</f>
        <v>28</v>
      </c>
      <c r="C18" s="39">
        <v>2</v>
      </c>
      <c r="D18" s="40">
        <f>D17-G17</f>
        <v>7167.42</v>
      </c>
      <c r="E18" s="40">
        <f>$C$12</f>
        <v>3079.98</v>
      </c>
      <c r="F18" s="40">
        <f>ROUND(D18*$D$4,2)*$D$6</f>
        <v>993.43999999999994</v>
      </c>
      <c r="G18" s="41">
        <f>E18-F18</f>
        <v>2086.54</v>
      </c>
      <c r="H18" s="92">
        <f>ROUND(D18*$E$4,2)*$D$6</f>
        <v>943.18000000000006</v>
      </c>
      <c r="I18" s="45">
        <f>G18+H18</f>
        <v>3029.7200000000003</v>
      </c>
      <c r="L18" s="59">
        <f>L17+M18-M17</f>
        <v>44625</v>
      </c>
      <c r="M18">
        <f>M17+$D$6</f>
        <v>28</v>
      </c>
      <c r="N18" s="39">
        <v>2</v>
      </c>
      <c r="O18" s="40">
        <f>O17-R17</f>
        <v>-3079.98</v>
      </c>
      <c r="P18" s="40">
        <f>$C$12</f>
        <v>3079.98</v>
      </c>
      <c r="Q18" s="40">
        <f>ROUND(O18*$D$4,2)*$D$6</f>
        <v>-426.85999999999996</v>
      </c>
      <c r="R18" s="41">
        <f>P18-Q18</f>
        <v>3506.84</v>
      </c>
      <c r="S18" s="92">
        <f>ROUND(O18*$E$4,2)*$D$6</f>
        <v>-405.3</v>
      </c>
      <c r="T18" s="45">
        <f>R18+S18</f>
        <v>3101.54</v>
      </c>
    </row>
    <row r="19" spans="1:20" x14ac:dyDescent="0.25">
      <c r="A19" s="59">
        <f>A18+B19-B18</f>
        <v>44639</v>
      </c>
      <c r="B19">
        <f>B18+$D$6</f>
        <v>42</v>
      </c>
      <c r="C19" s="39">
        <v>3</v>
      </c>
      <c r="D19" s="40">
        <f>D18-G18</f>
        <v>5080.88</v>
      </c>
      <c r="E19" s="40">
        <f>$C$12</f>
        <v>3079.98</v>
      </c>
      <c r="F19" s="40">
        <f>ROUND(D19*$D$4,2)*$D$6</f>
        <v>704.19999999999993</v>
      </c>
      <c r="G19" s="41">
        <f>E19-F19</f>
        <v>2375.7800000000002</v>
      </c>
      <c r="H19" s="92">
        <f>ROUND(D19*$E$4,2)*$D$6</f>
        <v>668.64</v>
      </c>
      <c r="I19" s="45">
        <f>G19+H19</f>
        <v>3044.42</v>
      </c>
      <c r="L19" s="59">
        <f>L18+M19-M18</f>
        <v>44639</v>
      </c>
      <c r="M19">
        <f>M18+$D$6</f>
        <v>42</v>
      </c>
      <c r="N19" s="39">
        <v>3</v>
      </c>
      <c r="O19" s="40">
        <f>O18-R18</f>
        <v>-6586.82</v>
      </c>
      <c r="P19" s="40">
        <f>$C$12</f>
        <v>3079.98</v>
      </c>
      <c r="Q19" s="40">
        <f>ROUND(O19*$D$4,2)*$D$6</f>
        <v>-912.93999999999994</v>
      </c>
      <c r="R19" s="41">
        <f>P19-Q19</f>
        <v>3992.92</v>
      </c>
      <c r="S19" s="92">
        <f>ROUND(O19*$E$4,2)*$D$6</f>
        <v>-866.88</v>
      </c>
      <c r="T19" s="45">
        <f>R19+S19</f>
        <v>3126.04</v>
      </c>
    </row>
    <row r="20" spans="1:20" x14ac:dyDescent="0.25">
      <c r="A20" s="59">
        <f>A19+B20-B19</f>
        <v>44653</v>
      </c>
      <c r="B20">
        <f>B19+$D$6</f>
        <v>56</v>
      </c>
      <c r="C20" s="39">
        <v>4</v>
      </c>
      <c r="D20" s="40">
        <f>D19-G19</f>
        <v>2705.1</v>
      </c>
      <c r="E20" s="40">
        <f>$D$3-SUM(G15:G19)+F20</f>
        <v>3080.0200000000004</v>
      </c>
      <c r="F20" s="40">
        <f>ROUND(D20*$D$4,2)*$D$6</f>
        <v>374.92</v>
      </c>
      <c r="G20" s="41">
        <f>E20-F20</f>
        <v>2705.1000000000004</v>
      </c>
      <c r="H20" s="92">
        <f>ROUND(D20*$E$4,2)*$D$6</f>
        <v>356.02</v>
      </c>
      <c r="I20" s="45">
        <f>G20+H20</f>
        <v>3061.1200000000003</v>
      </c>
      <c r="L20" s="59">
        <f>L19+M20-M19</f>
        <v>44653</v>
      </c>
      <c r="M20">
        <f>M19+$D$6</f>
        <v>56</v>
      </c>
      <c r="N20" s="39">
        <v>4</v>
      </c>
      <c r="O20" s="40">
        <f>O19-R19</f>
        <v>-10579.74</v>
      </c>
      <c r="P20" s="40">
        <f>$D$3-SUM(R15:R19)+Q20</f>
        <v>-3046.0999999999995</v>
      </c>
      <c r="Q20" s="40">
        <f>ROUND(O20*$D$4,2)*$D$6</f>
        <v>-1466.36</v>
      </c>
      <c r="R20" s="41">
        <f>P20-Q20</f>
        <v>-1579.7399999999996</v>
      </c>
      <c r="S20" s="92">
        <f>ROUND(O20*$E$4,2)*$D$6</f>
        <v>-1392.3</v>
      </c>
      <c r="T20" s="45">
        <f>R20+S20</f>
        <v>-2972.0399999999995</v>
      </c>
    </row>
    <row r="21" spans="1:20" ht="15.75" thickBot="1" x14ac:dyDescent="0.3">
      <c r="C21" s="136" t="s">
        <v>20</v>
      </c>
      <c r="D21" s="137"/>
      <c r="E21" s="112">
        <f>SUM(E16:E20)</f>
        <v>12319.960000000001</v>
      </c>
      <c r="F21" s="112">
        <f>SUM(F16:F20)</f>
        <v>3319.9599999999996</v>
      </c>
      <c r="G21" s="47">
        <f>SUM(G16:G20)</f>
        <v>9000</v>
      </c>
      <c r="H21" s="48">
        <f>SUM(H17:H20)</f>
        <v>3152.24</v>
      </c>
      <c r="I21" s="49">
        <f>G21+H21</f>
        <v>12152.24</v>
      </c>
      <c r="N21" s="136" t="s">
        <v>20</v>
      </c>
      <c r="O21" s="137"/>
      <c r="P21" s="112">
        <f>SUM(P16:P20)</f>
        <v>6193.8400000000011</v>
      </c>
      <c r="Q21" s="112">
        <f>SUM(Q16:Q20)</f>
        <v>-2806.16</v>
      </c>
      <c r="R21" s="47">
        <f>SUM(R16:R20)</f>
        <v>9000</v>
      </c>
      <c r="S21" s="48">
        <f>SUM(S17:S20)</f>
        <v>-2664.48</v>
      </c>
      <c r="T21" s="49">
        <f>R21+S21</f>
        <v>6335.52</v>
      </c>
    </row>
    <row r="22" spans="1:20" x14ac:dyDescent="0.25">
      <c r="E22" s="28">
        <f>E21/G21</f>
        <v>1.3688844444444446</v>
      </c>
      <c r="I22" s="29">
        <f>I21/G21</f>
        <v>1.3502488888888888</v>
      </c>
      <c r="P22" s="28">
        <f>P21/R21</f>
        <v>0.68820444444444451</v>
      </c>
      <c r="T22" s="29">
        <f>T21/R21</f>
        <v>0.70394666666666672</v>
      </c>
    </row>
    <row r="24" spans="1:20" ht="15.75" thickBot="1" x14ac:dyDescent="0.3"/>
    <row r="25" spans="1:20" ht="105" x14ac:dyDescent="0.25">
      <c r="B25" s="63" t="s">
        <v>92</v>
      </c>
      <c r="C25" s="9" t="s">
        <v>45</v>
      </c>
      <c r="D25" s="10" t="s">
        <v>65</v>
      </c>
      <c r="E25" s="10" t="s">
        <v>46</v>
      </c>
      <c r="F25" s="10" t="s">
        <v>47</v>
      </c>
      <c r="G25" s="10" t="s">
        <v>48</v>
      </c>
      <c r="H25" s="10" t="s">
        <v>69</v>
      </c>
      <c r="I25" s="11" t="s">
        <v>49</v>
      </c>
      <c r="M25" s="63" t="s">
        <v>92</v>
      </c>
      <c r="N25" s="9" t="s">
        <v>45</v>
      </c>
      <c r="O25" s="10" t="s">
        <v>65</v>
      </c>
      <c r="P25" s="10" t="s">
        <v>46</v>
      </c>
      <c r="Q25" s="10" t="s">
        <v>47</v>
      </c>
      <c r="R25" s="10" t="s">
        <v>48</v>
      </c>
      <c r="S25" s="10" t="s">
        <v>69</v>
      </c>
      <c r="T25" s="11" t="s">
        <v>49</v>
      </c>
    </row>
    <row r="26" spans="1:20" ht="15.75" thickBot="1" x14ac:dyDescent="0.3">
      <c r="C26" s="56">
        <v>0</v>
      </c>
      <c r="D26" s="57">
        <f>E26</f>
        <v>5168.25</v>
      </c>
      <c r="E26" s="57">
        <f>C29/2</f>
        <v>5168.25</v>
      </c>
      <c r="F26" s="57">
        <v>0</v>
      </c>
      <c r="G26" s="44">
        <f>ROUND($C$26*$E$4,2)*10</f>
        <v>0</v>
      </c>
      <c r="H26" s="57">
        <f>C26+G26</f>
        <v>0</v>
      </c>
      <c r="I26" s="83">
        <f>C26+E26+F36</f>
        <v>10336.5</v>
      </c>
      <c r="M26" s="56">
        <v>0</v>
      </c>
      <c r="N26" s="57">
        <f>O26</f>
        <v>5168.25</v>
      </c>
      <c r="O26" s="57">
        <f>N29/2</f>
        <v>5168.25</v>
      </c>
      <c r="P26" s="57">
        <v>0</v>
      </c>
      <c r="Q26" s="44">
        <f>ROUND($C$26*$E$4,2)*10</f>
        <v>0</v>
      </c>
      <c r="R26" s="57">
        <f>M26+Q26</f>
        <v>0</v>
      </c>
      <c r="S26" s="83">
        <f>M26+O26+P36</f>
        <v>7336.5</v>
      </c>
      <c r="T26" s="83">
        <f>N26+P26+Q36</f>
        <v>7336.5</v>
      </c>
    </row>
    <row r="29" spans="1:20" x14ac:dyDescent="0.25">
      <c r="B29" s="108" t="s">
        <v>93</v>
      </c>
      <c r="C29" s="113">
        <v>10336.5</v>
      </c>
      <c r="M29" s="108" t="s">
        <v>93</v>
      </c>
      <c r="N29" s="113">
        <v>10336.5</v>
      </c>
    </row>
    <row r="31" spans="1:20" ht="15.75" thickBot="1" x14ac:dyDescent="0.3">
      <c r="B31" t="s">
        <v>70</v>
      </c>
      <c r="C31" s="32">
        <v>2500</v>
      </c>
      <c r="M31" t="s">
        <v>70</v>
      </c>
      <c r="N31" s="32">
        <v>6000</v>
      </c>
    </row>
    <row r="32" spans="1:20" ht="45" x14ac:dyDescent="0.25">
      <c r="A32" t="s">
        <v>77</v>
      </c>
      <c r="B32" t="s">
        <v>76</v>
      </c>
      <c r="C32" s="9" t="s">
        <v>15</v>
      </c>
      <c r="D32" s="10" t="s">
        <v>71</v>
      </c>
      <c r="E32" s="10" t="s">
        <v>73</v>
      </c>
      <c r="F32" s="10" t="s">
        <v>72</v>
      </c>
      <c r="G32" s="11" t="s">
        <v>19</v>
      </c>
      <c r="H32" s="24" t="s">
        <v>85</v>
      </c>
      <c r="I32" s="25" t="s">
        <v>86</v>
      </c>
      <c r="L32" t="s">
        <v>77</v>
      </c>
      <c r="M32" t="s">
        <v>76</v>
      </c>
      <c r="N32" s="9" t="s">
        <v>15</v>
      </c>
      <c r="O32" s="10" t="s">
        <v>71</v>
      </c>
      <c r="P32" s="10" t="s">
        <v>73</v>
      </c>
      <c r="Q32" s="10" t="s">
        <v>72</v>
      </c>
      <c r="R32" s="11" t="s">
        <v>19</v>
      </c>
      <c r="S32" s="24" t="s">
        <v>85</v>
      </c>
      <c r="T32" s="25" t="s">
        <v>86</v>
      </c>
    </row>
    <row r="33" spans="1:20" x14ac:dyDescent="0.25">
      <c r="A33" s="59">
        <v>44724</v>
      </c>
      <c r="B33">
        <v>127</v>
      </c>
      <c r="C33" s="39">
        <v>0</v>
      </c>
      <c r="D33" s="40">
        <v>0</v>
      </c>
      <c r="E33" s="40"/>
      <c r="F33" s="40"/>
      <c r="G33" s="41"/>
      <c r="H33" s="42"/>
      <c r="I33" s="43"/>
      <c r="L33" s="59">
        <v>44724</v>
      </c>
      <c r="M33">
        <v>127</v>
      </c>
      <c r="N33" s="39">
        <v>0</v>
      </c>
      <c r="O33" s="40">
        <v>0</v>
      </c>
      <c r="P33" s="40"/>
      <c r="Q33" s="40"/>
      <c r="R33" s="41"/>
      <c r="S33" s="42"/>
      <c r="T33" s="43"/>
    </row>
    <row r="34" spans="1:20" ht="13.5" customHeight="1" x14ac:dyDescent="0.25">
      <c r="A34" s="59">
        <f>A33+B34-B33</f>
        <v>44734</v>
      </c>
      <c r="B34" s="64">
        <f>B33+10</f>
        <v>137</v>
      </c>
      <c r="C34" s="114">
        <v>0</v>
      </c>
      <c r="D34" s="40">
        <v>0</v>
      </c>
      <c r="E34" s="115"/>
      <c r="F34" s="72">
        <f>C31</f>
        <v>2500</v>
      </c>
      <c r="G34" s="116">
        <v>0</v>
      </c>
      <c r="H34" s="42"/>
      <c r="I34" s="43"/>
      <c r="J34" s="61"/>
      <c r="L34" s="59">
        <f>L33+M34-M33</f>
        <v>44734</v>
      </c>
      <c r="M34" s="64">
        <f>M33+10</f>
        <v>137</v>
      </c>
      <c r="N34" s="114">
        <v>0</v>
      </c>
      <c r="O34" s="40">
        <v>0</v>
      </c>
      <c r="P34" s="115"/>
      <c r="Q34" s="72">
        <f>N31</f>
        <v>6000</v>
      </c>
      <c r="R34" s="116">
        <v>0</v>
      </c>
      <c r="S34" s="42"/>
      <c r="T34" s="43"/>
    </row>
    <row r="35" spans="1:20" x14ac:dyDescent="0.25">
      <c r="A35" s="59">
        <f>A34+B35-B34</f>
        <v>44738</v>
      </c>
      <c r="B35" s="60">
        <f>B33+$D$6</f>
        <v>141</v>
      </c>
      <c r="C35" s="39">
        <v>1</v>
      </c>
      <c r="D35" s="40">
        <v>0</v>
      </c>
      <c r="E35" s="40">
        <f>F35</f>
        <v>2668.25</v>
      </c>
      <c r="F35" s="40">
        <f>C29/2-F34</f>
        <v>2668.25</v>
      </c>
      <c r="G35" s="41">
        <v>0</v>
      </c>
      <c r="H35" s="92">
        <v>0</v>
      </c>
      <c r="I35" s="45">
        <f>G35+H35</f>
        <v>0</v>
      </c>
      <c r="J35" s="61"/>
      <c r="L35" s="59">
        <f>L34+M35-M34</f>
        <v>44748</v>
      </c>
      <c r="M35" s="60">
        <f>M34+$D$6</f>
        <v>151</v>
      </c>
      <c r="N35" s="39">
        <v>1</v>
      </c>
      <c r="O35" s="40">
        <v>0</v>
      </c>
      <c r="P35" s="40">
        <f>Q35</f>
        <v>2168.25</v>
      </c>
      <c r="Q35" s="40">
        <f>(N29-Q34)/2</f>
        <v>2168.25</v>
      </c>
      <c r="R35" s="41">
        <v>0</v>
      </c>
      <c r="S35" s="92">
        <v>0</v>
      </c>
      <c r="T35" s="45">
        <f>R35+S35</f>
        <v>0</v>
      </c>
    </row>
    <row r="36" spans="1:20" x14ac:dyDescent="0.25">
      <c r="A36" s="59">
        <f>A35+B36-B35</f>
        <v>44752</v>
      </c>
      <c r="B36">
        <v>155</v>
      </c>
      <c r="C36" s="39">
        <v>2</v>
      </c>
      <c r="D36" s="40">
        <v>0</v>
      </c>
      <c r="E36" s="40">
        <f>F36</f>
        <v>5168.25</v>
      </c>
      <c r="F36" s="40">
        <f>C29/2</f>
        <v>5168.25</v>
      </c>
      <c r="G36" s="41">
        <v>0</v>
      </c>
      <c r="H36" s="92">
        <f>ROUND(D36*$E$4,2)*(B36-B35)</f>
        <v>0</v>
      </c>
      <c r="I36" s="45">
        <f>G36+H36</f>
        <v>0</v>
      </c>
      <c r="J36" s="60"/>
      <c r="L36" s="59">
        <f>L35+M36-M35</f>
        <v>44752</v>
      </c>
      <c r="M36">
        <v>155</v>
      </c>
      <c r="N36" s="39">
        <v>2</v>
      </c>
      <c r="O36" s="40">
        <v>0</v>
      </c>
      <c r="P36" s="40">
        <f>Q36</f>
        <v>2168.25</v>
      </c>
      <c r="Q36" s="40">
        <f>(N29-Q34)/2</f>
        <v>2168.25</v>
      </c>
      <c r="R36" s="41">
        <v>0</v>
      </c>
      <c r="S36" s="92">
        <f>ROUND(O36*$E$4,2)*(M36-M35)</f>
        <v>0</v>
      </c>
      <c r="T36" s="45">
        <f>R36+S36</f>
        <v>0</v>
      </c>
    </row>
    <row r="37" spans="1:20" ht="15.75" thickBot="1" x14ac:dyDescent="0.3">
      <c r="A37" s="59"/>
      <c r="C37" s="136" t="s">
        <v>20</v>
      </c>
      <c r="D37" s="137"/>
      <c r="E37" s="112">
        <f>SUM(E33:E36)+F34</f>
        <v>10336.5</v>
      </c>
      <c r="F37" s="112">
        <f>SUM(F33:F36)</f>
        <v>10336.5</v>
      </c>
      <c r="G37" s="47">
        <f>SUM(G33:G36)</f>
        <v>0</v>
      </c>
      <c r="H37" s="48">
        <f>SUM(H35:H36)</f>
        <v>0</v>
      </c>
      <c r="I37" s="49">
        <f>SUM(I34:I36)</f>
        <v>0</v>
      </c>
      <c r="L37" s="59"/>
      <c r="N37" s="136" t="s">
        <v>20</v>
      </c>
      <c r="O37" s="137"/>
      <c r="P37" s="112">
        <f>SUM(P33:P36)+Q34</f>
        <v>10336.5</v>
      </c>
      <c r="Q37" s="112">
        <f>SUM(Q33:Q36)</f>
        <v>10336.5</v>
      </c>
      <c r="R37" s="47">
        <f>SUM(R33:R36)</f>
        <v>0</v>
      </c>
      <c r="S37" s="48">
        <f>SUM(S35:S36)</f>
        <v>0</v>
      </c>
      <c r="T37" s="49">
        <f>SUM(T34:T36)</f>
        <v>0</v>
      </c>
    </row>
    <row r="38" spans="1:20" x14ac:dyDescent="0.25">
      <c r="A38" s="59"/>
      <c r="E38" s="28"/>
      <c r="F38" s="68"/>
      <c r="I38" s="29"/>
    </row>
  </sheetData>
  <mergeCells count="4">
    <mergeCell ref="C21:D21"/>
    <mergeCell ref="C37:D37"/>
    <mergeCell ref="N21:O21"/>
    <mergeCell ref="N37:O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Стартовые</vt:lpstr>
      <vt:lpstr>Варианты частичного погашения</vt:lpstr>
      <vt:lpstr>=Проценты до даты платежа</vt:lpstr>
      <vt:lpstr>&lt;Проценты до даты платежа</vt:lpstr>
      <vt:lpstr>&gt;=Проценты до даты платежа</vt:lpstr>
      <vt:lpstr>&gt;=Проценты в дату платежа</vt:lpstr>
      <vt:lpstr>Полное погашение</vt:lpstr>
      <vt:lpstr>Продление по базовой</vt:lpstr>
      <vt:lpstr>Продление по льготной</vt:lpstr>
      <vt:lpstr>Льготный период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 Гораш</dc:creator>
  <cp:lastModifiedBy>Home</cp:lastModifiedBy>
  <cp:lastPrinted>2022-05-31T07:20:47Z</cp:lastPrinted>
  <dcterms:created xsi:type="dcterms:W3CDTF">2022-04-29T04:16:15Z</dcterms:created>
  <dcterms:modified xsi:type="dcterms:W3CDTF">2022-11-16T07:03:45Z</dcterms:modified>
</cp:coreProperties>
</file>